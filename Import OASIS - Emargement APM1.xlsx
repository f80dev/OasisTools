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hoar\IdeaProjects\OasisTools\"/>
    </mc:Choice>
  </mc:AlternateContent>
  <xr:revisionPtr revIDLastSave="0" documentId="13_ncr:1_{DA92BBAC-7070-4FC9-A8E1-ACC848096479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003481" sheetId="1" r:id="rId1"/>
    <sheet name="OASIS" sheetId="4" r:id="rId2"/>
    <sheet name="Synthese" sheetId="3" r:id="rId3"/>
    <sheet name="Brouillon" sheetId="5" r:id="rId4"/>
  </sheets>
  <definedNames>
    <definedName name="_xlnm._FilterDatabase" localSheetId="0" hidden="1">'003481'!$A$1:$Q$1338</definedName>
    <definedName name="_xlnm._FilterDatabase" localSheetId="3" hidden="1">Brouillon!$A$1:$A$255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2" i="4" l="1"/>
  <c r="D212" i="4" s="1"/>
  <c r="B213" i="4"/>
  <c r="D213" i="4" s="1"/>
  <c r="B214" i="4"/>
  <c r="D214" i="4" s="1"/>
  <c r="B215" i="4"/>
  <c r="D215" i="4" s="1"/>
  <c r="B216" i="4"/>
  <c r="D216" i="4"/>
  <c r="B217" i="4"/>
  <c r="D217" i="4" s="1"/>
  <c r="B218" i="4"/>
  <c r="D218" i="4"/>
  <c r="B219" i="4"/>
  <c r="D219" i="4"/>
  <c r="B220" i="4"/>
  <c r="D220" i="4" s="1"/>
  <c r="B221" i="4"/>
  <c r="D221" i="4"/>
  <c r="B222" i="4"/>
  <c r="D222" i="4" s="1"/>
  <c r="B223" i="4"/>
  <c r="D223" i="4" s="1"/>
  <c r="B224" i="4"/>
  <c r="D224" i="4" s="1"/>
  <c r="B225" i="4"/>
  <c r="D225" i="4" s="1"/>
  <c r="B226" i="4"/>
  <c r="D226" i="4"/>
  <c r="B227" i="4"/>
  <c r="D227" i="4" s="1"/>
  <c r="B228" i="4"/>
  <c r="D228" i="4"/>
  <c r="B229" i="4"/>
  <c r="D229" i="4"/>
  <c r="B230" i="4"/>
  <c r="D230" i="4" s="1"/>
  <c r="B231" i="4"/>
  <c r="D231" i="4"/>
  <c r="B232" i="4"/>
  <c r="D232" i="4" s="1"/>
  <c r="B233" i="4"/>
  <c r="D233" i="4" s="1"/>
  <c r="B234" i="4"/>
  <c r="D234" i="4" s="1"/>
  <c r="B235" i="4"/>
  <c r="D235" i="4" s="1"/>
  <c r="B236" i="4"/>
  <c r="D236" i="4"/>
  <c r="B237" i="4"/>
  <c r="D237" i="4" s="1"/>
  <c r="B238" i="4"/>
  <c r="D238" i="4"/>
  <c r="B239" i="4"/>
  <c r="D239" i="4"/>
  <c r="B240" i="4"/>
  <c r="D240" i="4" s="1"/>
  <c r="B241" i="4"/>
  <c r="D241" i="4"/>
  <c r="B242" i="4"/>
  <c r="D242" i="4" s="1"/>
  <c r="B243" i="4"/>
  <c r="D243" i="4" s="1"/>
  <c r="B244" i="4"/>
  <c r="D244" i="4" s="1"/>
  <c r="B245" i="4"/>
  <c r="D245" i="4" s="1"/>
  <c r="B246" i="4"/>
  <c r="D246" i="4"/>
  <c r="B247" i="4"/>
  <c r="D247" i="4" s="1"/>
  <c r="B248" i="4"/>
  <c r="D248" i="4"/>
  <c r="B249" i="4"/>
  <c r="D249" i="4"/>
  <c r="B250" i="4"/>
  <c r="D250" i="4" s="1"/>
  <c r="B251" i="4"/>
  <c r="D251" i="4"/>
  <c r="B168" i="4"/>
  <c r="D168" i="4" s="1"/>
  <c r="B169" i="4"/>
  <c r="D169" i="4" s="1"/>
  <c r="B170" i="4"/>
  <c r="D170" i="4" s="1"/>
  <c r="B171" i="4"/>
  <c r="D171" i="4" s="1"/>
  <c r="B172" i="4"/>
  <c r="D172" i="4"/>
  <c r="B173" i="4"/>
  <c r="D173" i="4" s="1"/>
  <c r="B174" i="4"/>
  <c r="D174" i="4" s="1"/>
  <c r="B175" i="4"/>
  <c r="D175" i="4"/>
  <c r="B176" i="4"/>
  <c r="D176" i="4" s="1"/>
  <c r="B177" i="4"/>
  <c r="D177" i="4"/>
  <c r="B178" i="4"/>
  <c r="D178" i="4"/>
  <c r="B179" i="4"/>
  <c r="D179" i="4" s="1"/>
  <c r="B180" i="4"/>
  <c r="D180" i="4" s="1"/>
  <c r="B181" i="4"/>
  <c r="D181" i="4" s="1"/>
  <c r="B182" i="4"/>
  <c r="D182" i="4"/>
  <c r="B183" i="4"/>
  <c r="D183" i="4"/>
  <c r="B184" i="4"/>
  <c r="D184" i="4" s="1"/>
  <c r="B185" i="4"/>
  <c r="D185" i="4"/>
  <c r="B186" i="4"/>
  <c r="D186" i="4" s="1"/>
  <c r="B187" i="4"/>
  <c r="D187" i="4"/>
  <c r="B188" i="4"/>
  <c r="D188" i="4"/>
  <c r="B189" i="4"/>
  <c r="D189" i="4" s="1"/>
  <c r="B190" i="4"/>
  <c r="D190" i="4" s="1"/>
  <c r="B191" i="4"/>
  <c r="D191" i="4" s="1"/>
  <c r="B192" i="4"/>
  <c r="D192" i="4"/>
  <c r="B193" i="4"/>
  <c r="D193" i="4"/>
  <c r="B194" i="4"/>
  <c r="D194" i="4" s="1"/>
  <c r="B195" i="4"/>
  <c r="D195" i="4"/>
  <c r="B196" i="4"/>
  <c r="D196" i="4" s="1"/>
  <c r="B197" i="4"/>
  <c r="D197" i="4"/>
  <c r="B198" i="4"/>
  <c r="D198" i="4"/>
  <c r="B199" i="4"/>
  <c r="D199" i="4" s="1"/>
  <c r="B200" i="4"/>
  <c r="D200" i="4" s="1"/>
  <c r="B201" i="4"/>
  <c r="D201" i="4" s="1"/>
  <c r="B202" i="4"/>
  <c r="D202" i="4"/>
  <c r="B203" i="4"/>
  <c r="D203" i="4"/>
  <c r="B204" i="4"/>
  <c r="D204" i="4" s="1"/>
  <c r="B205" i="4"/>
  <c r="D205" i="4"/>
  <c r="B206" i="4"/>
  <c r="D206" i="4" s="1"/>
  <c r="B207" i="4"/>
  <c r="D207" i="4"/>
  <c r="B208" i="4"/>
  <c r="D208" i="4"/>
  <c r="B209" i="4"/>
  <c r="D209" i="4" s="1"/>
  <c r="B210" i="4"/>
  <c r="D210" i="4" s="1"/>
  <c r="B211" i="4"/>
  <c r="D211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2" i="4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37" i="3"/>
  <c r="O36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38" i="3"/>
  <c r="O288" i="3"/>
  <c r="O289" i="3"/>
  <c r="O37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38" i="3"/>
  <c r="N36" i="3" s="1"/>
  <c r="N39" i="3"/>
  <c r="N40" i="3"/>
  <c r="N37" i="3"/>
  <c r="H14" i="3"/>
  <c r="I14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2" i="1"/>
  <c r="C1249" i="1"/>
  <c r="H1250" i="1"/>
  <c r="Q1250" i="1" s="1"/>
  <c r="H1251" i="1"/>
  <c r="Q1251" i="1" s="1"/>
  <c r="H1252" i="1"/>
  <c r="H1253" i="1"/>
  <c r="H1254" i="1"/>
  <c r="H1255" i="1"/>
  <c r="Q1255" i="1" s="1"/>
  <c r="H1256" i="1"/>
  <c r="H1257" i="1"/>
  <c r="H1258" i="1"/>
  <c r="Q1258" i="1" s="1"/>
  <c r="H1259" i="1"/>
  <c r="Q1259" i="1" s="1"/>
  <c r="H1260" i="1"/>
  <c r="H1261" i="1"/>
  <c r="H1262" i="1"/>
  <c r="Q1262" i="1" s="1"/>
  <c r="H1263" i="1"/>
  <c r="H1264" i="1"/>
  <c r="H1265" i="1"/>
  <c r="Q1265" i="1" s="1"/>
  <c r="H1266" i="1"/>
  <c r="Q1266" i="1" s="1"/>
  <c r="H1267" i="1"/>
  <c r="Q1267" i="1" s="1"/>
  <c r="H1268" i="1"/>
  <c r="H1269" i="1"/>
  <c r="Q1269" i="1" s="1"/>
  <c r="H1270" i="1"/>
  <c r="H1271" i="1"/>
  <c r="Q1271" i="1" s="1"/>
  <c r="H1272" i="1"/>
  <c r="Q1272" i="1" s="1"/>
  <c r="H1273" i="1"/>
  <c r="H1274" i="1"/>
  <c r="Q1274" i="1" s="1"/>
  <c r="H1275" i="1"/>
  <c r="Q1275" i="1" s="1"/>
  <c r="H1276" i="1"/>
  <c r="H1277" i="1"/>
  <c r="H1278" i="1"/>
  <c r="Q1278" i="1" s="1"/>
  <c r="H1279" i="1"/>
  <c r="Q1279" i="1" s="1"/>
  <c r="H1280" i="1"/>
  <c r="H1281" i="1"/>
  <c r="H1282" i="1"/>
  <c r="Q1282" i="1" s="1"/>
  <c r="H1283" i="1"/>
  <c r="Q1283" i="1" s="1"/>
  <c r="H1284" i="1"/>
  <c r="H1285" i="1"/>
  <c r="H1286" i="1"/>
  <c r="Q1286" i="1" s="1"/>
  <c r="H1287" i="1"/>
  <c r="H1288" i="1"/>
  <c r="H1289" i="1"/>
  <c r="Q1289" i="1" s="1"/>
  <c r="H1290" i="1"/>
  <c r="Q1290" i="1" s="1"/>
  <c r="H1291" i="1"/>
  <c r="Q1291" i="1" s="1"/>
  <c r="H1292" i="1"/>
  <c r="H1293" i="1"/>
  <c r="Q1293" i="1" s="1"/>
  <c r="H1294" i="1"/>
  <c r="H1295" i="1"/>
  <c r="Q1295" i="1" s="1"/>
  <c r="H1296" i="1"/>
  <c r="Q1296" i="1" s="1"/>
  <c r="H1297" i="1"/>
  <c r="H1298" i="1"/>
  <c r="Q1298" i="1" s="1"/>
  <c r="H1299" i="1"/>
  <c r="H1300" i="1"/>
  <c r="H1301" i="1"/>
  <c r="H1302" i="1"/>
  <c r="Q1302" i="1" s="1"/>
  <c r="H1303" i="1"/>
  <c r="H1304" i="1"/>
  <c r="H1305" i="1"/>
  <c r="Q1305" i="1" s="1"/>
  <c r="H1306" i="1"/>
  <c r="Q1306" i="1" s="1"/>
  <c r="H1307" i="1"/>
  <c r="H1308" i="1"/>
  <c r="Q1308" i="1" s="1"/>
  <c r="H1309" i="1"/>
  <c r="H1310" i="1"/>
  <c r="H1311" i="1"/>
  <c r="Q1311" i="1" s="1"/>
  <c r="H1312" i="1"/>
  <c r="Q1312" i="1" s="1"/>
  <c r="H1313" i="1"/>
  <c r="Q1313" i="1" s="1"/>
  <c r="H1314" i="1"/>
  <c r="H1315" i="1"/>
  <c r="Q1315" i="1" s="1"/>
  <c r="H1316" i="1"/>
  <c r="H1317" i="1"/>
  <c r="H1318" i="1"/>
  <c r="Q1318" i="1" s="1"/>
  <c r="H1319" i="1"/>
  <c r="H1320" i="1"/>
  <c r="Q1320" i="1" s="1"/>
  <c r="H1321" i="1"/>
  <c r="H1322" i="1"/>
  <c r="H1323" i="1"/>
  <c r="Q1323" i="1" s="1"/>
  <c r="H1324" i="1"/>
  <c r="Q1324" i="1" s="1"/>
  <c r="H1325" i="1"/>
  <c r="H1326" i="1"/>
  <c r="H1327" i="1"/>
  <c r="Q1327" i="1" s="1"/>
  <c r="H1328" i="1"/>
  <c r="Q1328" i="1" s="1"/>
  <c r="H1329" i="1"/>
  <c r="H1330" i="1"/>
  <c r="H1331" i="1"/>
  <c r="Q1331" i="1" s="1"/>
  <c r="H1332" i="1"/>
  <c r="H1333" i="1"/>
  <c r="H1334" i="1"/>
  <c r="Q1334" i="1" s="1"/>
  <c r="H1335" i="1"/>
  <c r="Q1335" i="1" s="1"/>
  <c r="H1336" i="1"/>
  <c r="H1337" i="1"/>
  <c r="H1338" i="1"/>
  <c r="Q1338" i="1" s="1"/>
  <c r="H1249" i="1"/>
  <c r="Q1249" i="1" s="1"/>
  <c r="M336" i="1"/>
  <c r="M681" i="1"/>
  <c r="M941" i="1"/>
  <c r="M942" i="1"/>
  <c r="M943" i="1"/>
  <c r="M1088" i="1"/>
  <c r="M471" i="1"/>
  <c r="M944" i="1"/>
  <c r="M1132" i="1"/>
  <c r="M1133" i="1"/>
  <c r="M1134" i="1"/>
  <c r="M1184" i="1"/>
  <c r="M569" i="1"/>
  <c r="M1135" i="1"/>
  <c r="M384" i="1"/>
  <c r="M110" i="1"/>
  <c r="M111" i="1"/>
  <c r="M112" i="1"/>
  <c r="M676" i="1"/>
  <c r="M55" i="1"/>
  <c r="M113" i="1"/>
  <c r="M843" i="1"/>
  <c r="M844" i="1"/>
  <c r="M845" i="1"/>
  <c r="M1037" i="1"/>
  <c r="M424" i="1"/>
  <c r="M846" i="1"/>
  <c r="M431" i="1"/>
  <c r="M432" i="1"/>
  <c r="M433" i="1"/>
  <c r="M836" i="1"/>
  <c r="M219" i="1"/>
  <c r="M434" i="1"/>
  <c r="M1120" i="1"/>
  <c r="M1121" i="1"/>
  <c r="M1122" i="1"/>
  <c r="M1123" i="1"/>
  <c r="M242" i="1"/>
  <c r="M48" i="1"/>
  <c r="M147" i="1"/>
  <c r="M895" i="1"/>
  <c r="M897" i="1"/>
  <c r="M515" i="1"/>
  <c r="M191" i="1"/>
  <c r="M192" i="1"/>
  <c r="M194" i="1"/>
  <c r="M83" i="1"/>
  <c r="M780" i="1"/>
  <c r="M849" i="1"/>
  <c r="M850" i="1"/>
  <c r="M851" i="1"/>
  <c r="M1041" i="1"/>
  <c r="M425" i="1"/>
  <c r="M852" i="1"/>
  <c r="M888" i="1"/>
  <c r="M889" i="1"/>
  <c r="M890" i="1"/>
  <c r="M891" i="1"/>
  <c r="M385" i="1"/>
  <c r="M386" i="1"/>
  <c r="M387" i="1"/>
  <c r="M812" i="1"/>
  <c r="M195" i="1"/>
  <c r="M388" i="1"/>
  <c r="M801" i="1"/>
  <c r="M802" i="1"/>
  <c r="M803" i="1"/>
  <c r="M1018" i="1"/>
  <c r="M402" i="1"/>
  <c r="M804" i="1"/>
  <c r="M1156" i="1"/>
  <c r="M1157" i="1"/>
  <c r="M1158" i="1"/>
  <c r="M1196" i="1"/>
  <c r="M581" i="1"/>
  <c r="M1159" i="1"/>
  <c r="M1127" i="1"/>
  <c r="M1129" i="1"/>
  <c r="M1003" i="1"/>
  <c r="M1004" i="1"/>
  <c r="M1005" i="1"/>
  <c r="M1119" i="1"/>
  <c r="M505" i="1"/>
  <c r="M1006" i="1"/>
  <c r="M987" i="1"/>
  <c r="M988" i="1"/>
  <c r="M1112" i="1"/>
  <c r="M495" i="1"/>
  <c r="M989" i="1"/>
  <c r="M221" i="1"/>
  <c r="M222" i="1"/>
  <c r="M223" i="1"/>
  <c r="M730" i="1"/>
  <c r="M114" i="1"/>
  <c r="M224" i="1"/>
  <c r="M871" i="1"/>
  <c r="M872" i="1"/>
  <c r="M1053" i="1"/>
  <c r="M436" i="1"/>
  <c r="M873" i="1"/>
  <c r="M131" i="1"/>
  <c r="M984" i="1"/>
  <c r="M935" i="1"/>
  <c r="M936" i="1"/>
  <c r="M937" i="1"/>
  <c r="M1083" i="1"/>
  <c r="M470" i="1"/>
  <c r="M938" i="1"/>
  <c r="M1185" i="1"/>
  <c r="M1078" i="1"/>
  <c r="M1186" i="1"/>
  <c r="M1079" i="1"/>
  <c r="M1187" i="1"/>
  <c r="M1080" i="1"/>
  <c r="M1160" i="1"/>
  <c r="M541" i="1"/>
  <c r="M1188" i="1"/>
  <c r="M1081" i="1"/>
  <c r="M134" i="1"/>
  <c r="M135" i="1"/>
  <c r="M688" i="1"/>
  <c r="M67" i="1"/>
  <c r="M136" i="1"/>
  <c r="M589" i="1"/>
  <c r="M590" i="1"/>
  <c r="M591" i="1"/>
  <c r="M915" i="1"/>
  <c r="M295" i="1"/>
  <c r="M592" i="1"/>
  <c r="M187" i="1"/>
  <c r="M188" i="1"/>
  <c r="M702" i="1"/>
  <c r="M703" i="1"/>
  <c r="M704" i="1"/>
  <c r="M415" i="1"/>
  <c r="M416" i="1"/>
  <c r="M829" i="1"/>
  <c r="M208" i="1"/>
  <c r="M417" i="1"/>
  <c r="M215" i="1"/>
  <c r="M216" i="1"/>
  <c r="M217" i="1"/>
  <c r="M729" i="1"/>
  <c r="M109" i="1"/>
  <c r="M218" i="1"/>
  <c r="M284" i="1"/>
  <c r="M285" i="1"/>
  <c r="M286" i="1"/>
  <c r="M763" i="1"/>
  <c r="M143" i="1"/>
  <c r="M287" i="1"/>
  <c r="M1058" i="1"/>
  <c r="M950" i="1"/>
  <c r="M958" i="1"/>
  <c r="M959" i="1"/>
  <c r="M960" i="1"/>
  <c r="M1095" i="1"/>
  <c r="M482" i="1"/>
  <c r="M961" i="1"/>
  <c r="M507" i="1"/>
  <c r="M508" i="1"/>
  <c r="M874" i="1"/>
  <c r="M255" i="1"/>
  <c r="M509" i="1"/>
  <c r="M1237" i="1"/>
  <c r="M618" i="1"/>
  <c r="M970" i="1"/>
  <c r="M971" i="1"/>
  <c r="M1101" i="1"/>
  <c r="M488" i="1"/>
  <c r="M972" i="1"/>
  <c r="M673" i="1"/>
  <c r="M674" i="1"/>
  <c r="M956" i="1"/>
  <c r="M337" i="1"/>
  <c r="M675" i="1"/>
  <c r="M150" i="1"/>
  <c r="M151" i="1"/>
  <c r="M695" i="1"/>
  <c r="M78" i="1"/>
  <c r="M152" i="1"/>
  <c r="M929" i="1"/>
  <c r="M930" i="1"/>
  <c r="M1082" i="1"/>
  <c r="M932" i="1"/>
  <c r="M690" i="1"/>
  <c r="M691" i="1"/>
  <c r="M692" i="1"/>
  <c r="M963" i="1"/>
  <c r="M347" i="1"/>
  <c r="M693" i="1"/>
  <c r="M158" i="1"/>
  <c r="M774" i="1"/>
  <c r="M926" i="1"/>
  <c r="M230" i="1"/>
  <c r="M262" i="1"/>
  <c r="M263" i="1"/>
  <c r="M264" i="1"/>
  <c r="M752" i="1"/>
  <c r="M133" i="1"/>
  <c r="M265" i="1"/>
  <c r="M56" i="1"/>
  <c r="M57" i="1"/>
  <c r="M58" i="1"/>
  <c r="M59" i="1"/>
  <c r="M827" i="1"/>
  <c r="M1015" i="1"/>
  <c r="M1016" i="1"/>
  <c r="M1125" i="1"/>
  <c r="M510" i="1"/>
  <c r="M1017" i="1"/>
  <c r="M1194" i="1"/>
  <c r="M1174" i="1"/>
  <c r="M1175" i="1"/>
  <c r="M1207" i="1"/>
  <c r="M588" i="1"/>
  <c r="M1176" i="1"/>
  <c r="M855" i="1"/>
  <c r="M856" i="1"/>
  <c r="M1042" i="1"/>
  <c r="M1029" i="1"/>
  <c r="M502" i="1"/>
  <c r="M503" i="1"/>
  <c r="M870" i="1"/>
  <c r="M504" i="1"/>
  <c r="M481" i="1"/>
  <c r="M1227" i="1"/>
  <c r="M1228" i="1"/>
  <c r="M1229" i="1"/>
  <c r="M1232" i="1"/>
  <c r="M617" i="1"/>
  <c r="M1230" i="1"/>
  <c r="M1108" i="1"/>
  <c r="M1145" i="1"/>
  <c r="M1109" i="1"/>
  <c r="M1110" i="1"/>
  <c r="M1173" i="1"/>
  <c r="M553" i="1"/>
  <c r="M1111" i="1"/>
  <c r="M355" i="1"/>
  <c r="M356" i="1"/>
  <c r="M357" i="1"/>
  <c r="M799" i="1"/>
  <c r="M178" i="1"/>
  <c r="M358" i="1"/>
  <c r="M164" i="1"/>
  <c r="M634" i="1"/>
  <c r="M490" i="1"/>
  <c r="M491" i="1"/>
  <c r="M492" i="1"/>
  <c r="M864" i="1"/>
  <c r="M249" i="1"/>
  <c r="M493" i="1"/>
  <c r="M298" i="1"/>
  <c r="M736" i="1"/>
  <c r="M737" i="1"/>
  <c r="M738" i="1"/>
  <c r="M986" i="1"/>
  <c r="M371" i="1"/>
  <c r="M739" i="1"/>
  <c r="M167" i="1"/>
  <c r="M168" i="1"/>
  <c r="M169" i="1"/>
  <c r="M170" i="1"/>
  <c r="M913" i="1"/>
  <c r="M914" i="1"/>
  <c r="M344" i="1"/>
  <c r="M345" i="1"/>
  <c r="M793" i="1"/>
  <c r="M172" i="1"/>
  <c r="M346" i="1"/>
  <c r="M882" i="1"/>
  <c r="M883" i="1"/>
  <c r="M884" i="1"/>
  <c r="M1059" i="1"/>
  <c r="M442" i="1"/>
  <c r="M885" i="1"/>
  <c r="M548" i="1"/>
  <c r="M549" i="1"/>
  <c r="M893" i="1"/>
  <c r="M550" i="1"/>
  <c r="M326" i="1"/>
  <c r="M327" i="1"/>
  <c r="M328" i="1"/>
  <c r="M782" i="1"/>
  <c r="M165" i="1"/>
  <c r="M329" i="1"/>
  <c r="M696" i="1"/>
  <c r="M697" i="1"/>
  <c r="M698" i="1"/>
  <c r="M968" i="1"/>
  <c r="M348" i="1"/>
  <c r="M699" i="1"/>
  <c r="M754" i="1"/>
  <c r="M755" i="1"/>
  <c r="M756" i="1"/>
  <c r="M721" i="1"/>
  <c r="M995" i="1"/>
  <c r="M378" i="1"/>
  <c r="M757" i="1"/>
  <c r="M722" i="1"/>
  <c r="M426" i="1"/>
  <c r="M427" i="1"/>
  <c r="M428" i="1"/>
  <c r="M308" i="1"/>
  <c r="M309" i="1"/>
  <c r="M310" i="1"/>
  <c r="M775" i="1"/>
  <c r="M154" i="1"/>
  <c r="M311" i="1"/>
  <c r="M604" i="1"/>
  <c r="M452" i="1"/>
  <c r="M101" i="1"/>
  <c r="M179" i="1"/>
  <c r="M180" i="1"/>
  <c r="M1170" i="1"/>
  <c r="M181" i="1"/>
  <c r="M711" i="1"/>
  <c r="M91" i="1"/>
  <c r="M1171" i="1"/>
  <c r="M182" i="1"/>
  <c r="M76" i="1"/>
  <c r="M125" i="1"/>
  <c r="M333" i="1"/>
  <c r="M334" i="1"/>
  <c r="M44" i="1"/>
  <c r="M45" i="1"/>
  <c r="M46" i="1"/>
  <c r="M642" i="1"/>
  <c r="M24" i="1"/>
  <c r="M47" i="1"/>
  <c r="M731" i="1"/>
  <c r="M732" i="1"/>
  <c r="M985" i="1"/>
  <c r="M366" i="1"/>
  <c r="M733" i="1"/>
  <c r="M1046" i="1"/>
  <c r="M760" i="1"/>
  <c r="M761" i="1"/>
  <c r="M996" i="1"/>
  <c r="M383" i="1"/>
  <c r="M762" i="1"/>
  <c r="M997" i="1"/>
  <c r="M998" i="1"/>
  <c r="M999" i="1"/>
  <c r="M1118" i="1"/>
  <c r="M501" i="1"/>
  <c r="M1000" i="1"/>
  <c r="M713" i="1"/>
  <c r="M714" i="1"/>
  <c r="M715" i="1"/>
  <c r="M974" i="1"/>
  <c r="M359" i="1"/>
  <c r="M716" i="1"/>
  <c r="M1149" i="1"/>
  <c r="M1064" i="1"/>
  <c r="M1152" i="1"/>
  <c r="M104" i="1"/>
  <c r="M105" i="1"/>
  <c r="M106" i="1"/>
  <c r="M672" i="1"/>
  <c r="M54" i="1"/>
  <c r="M107" i="1"/>
  <c r="M1138" i="1"/>
  <c r="M1139" i="1"/>
  <c r="M1140" i="1"/>
  <c r="M1189" i="1"/>
  <c r="M570" i="1"/>
  <c r="M1141" i="1"/>
  <c r="M1179" i="1"/>
  <c r="M1180" i="1"/>
  <c r="M1181" i="1"/>
  <c r="M1208" i="1"/>
  <c r="M593" i="1"/>
  <c r="M1182" i="1"/>
  <c r="M807" i="1"/>
  <c r="M808" i="1"/>
  <c r="M809" i="1"/>
  <c r="M1019" i="1"/>
  <c r="M407" i="1"/>
  <c r="M810" i="1"/>
  <c r="M748" i="1"/>
  <c r="M900" i="1"/>
  <c r="M749" i="1"/>
  <c r="M901" i="1"/>
  <c r="M750" i="1"/>
  <c r="M1066" i="1"/>
  <c r="M991" i="1"/>
  <c r="M377" i="1"/>
  <c r="M902" i="1"/>
  <c r="M751" i="1"/>
  <c r="M684" i="1"/>
  <c r="M685" i="1"/>
  <c r="M686" i="1"/>
  <c r="M343" i="1"/>
  <c r="M687" i="1"/>
  <c r="M555" i="1"/>
  <c r="M557" i="1"/>
  <c r="M559" i="1"/>
  <c r="M899" i="1"/>
  <c r="M282" i="1"/>
  <c r="M561" i="1"/>
  <c r="M908" i="1"/>
  <c r="M278" i="1"/>
  <c r="M279" i="1"/>
  <c r="M280" i="1"/>
  <c r="M759" i="1"/>
  <c r="M142" i="1"/>
  <c r="M281" i="1"/>
  <c r="M837" i="1"/>
  <c r="M838" i="1"/>
  <c r="M839" i="1"/>
  <c r="M1036" i="1"/>
  <c r="M419" i="1"/>
  <c r="M840" i="1"/>
  <c r="M786" i="1"/>
  <c r="M533" i="1"/>
  <c r="M305" i="1"/>
  <c r="M13" i="1"/>
  <c r="M1009" i="1"/>
  <c r="M1010" i="1"/>
  <c r="M1011" i="1"/>
  <c r="M1124" i="1"/>
  <c r="M506" i="1"/>
  <c r="M1012" i="1"/>
  <c r="M586" i="1"/>
  <c r="M409" i="1"/>
  <c r="M410" i="1"/>
  <c r="M412" i="1"/>
  <c r="M236" i="1"/>
  <c r="M1032" i="1"/>
  <c r="M1033" i="1"/>
  <c r="M1034" i="1"/>
  <c r="M1136" i="1"/>
  <c r="M517" i="1"/>
  <c r="M1035" i="1"/>
  <c r="M394" i="1"/>
  <c r="M789" i="1"/>
  <c r="M338" i="1"/>
  <c r="M339" i="1"/>
  <c r="M340" i="1"/>
  <c r="M788" i="1"/>
  <c r="M171" i="1"/>
  <c r="M341" i="1"/>
  <c r="M5" i="1"/>
  <c r="M953" i="1"/>
  <c r="M954" i="1"/>
  <c r="M1094" i="1"/>
  <c r="M477" i="1"/>
  <c r="M955" i="1"/>
  <c r="M349" i="1"/>
  <c r="M350" i="1"/>
  <c r="M351" i="1"/>
  <c r="M794" i="1"/>
  <c r="M177" i="1"/>
  <c r="M352" i="1"/>
  <c r="M831" i="1"/>
  <c r="M832" i="1"/>
  <c r="M833" i="1"/>
  <c r="M1031" i="1"/>
  <c r="M418" i="1"/>
  <c r="M834" i="1"/>
  <c r="M619" i="1"/>
  <c r="M620" i="1"/>
  <c r="M621" i="1"/>
  <c r="M245" i="1"/>
  <c r="M246" i="1"/>
  <c r="M247" i="1"/>
  <c r="M741" i="1"/>
  <c r="M126" i="1"/>
  <c r="M248" i="1"/>
  <c r="M379" i="1"/>
  <c r="M380" i="1"/>
  <c r="M381" i="1"/>
  <c r="M811" i="1"/>
  <c r="M190" i="1"/>
  <c r="M382" i="1"/>
  <c r="M580" i="1"/>
  <c r="M745" i="1"/>
  <c r="M607" i="1"/>
  <c r="M608" i="1"/>
  <c r="M609" i="1"/>
  <c r="M879" i="1"/>
  <c r="M610" i="1"/>
  <c r="M463" i="1"/>
  <c r="M554" i="1"/>
  <c r="M556" i="1"/>
  <c r="M558" i="1"/>
  <c r="M898" i="1"/>
  <c r="M277" i="1"/>
  <c r="M560" i="1"/>
  <c r="M197" i="1"/>
  <c r="M198" i="1"/>
  <c r="M199" i="1"/>
  <c r="M718" i="1"/>
  <c r="M102" i="1"/>
  <c r="M200" i="1"/>
  <c r="M655" i="1"/>
  <c r="M656" i="1"/>
  <c r="M657" i="1"/>
  <c r="M946" i="1"/>
  <c r="M330" i="1"/>
  <c r="M658" i="1"/>
  <c r="M1038" i="1"/>
  <c r="M1039" i="1"/>
  <c r="M1137" i="1"/>
  <c r="M522" i="1"/>
  <c r="M1040" i="1"/>
  <c r="M992" i="1"/>
  <c r="M993" i="1"/>
  <c r="M1113" i="1"/>
  <c r="M500" i="1"/>
  <c r="M994" i="1"/>
  <c r="M1116" i="1"/>
  <c r="M1117" i="1"/>
  <c r="M1067" i="1"/>
  <c r="M1068" i="1"/>
  <c r="M1154" i="1"/>
  <c r="M535" i="1"/>
  <c r="M1069" i="1"/>
  <c r="M518" i="1"/>
  <c r="M519" i="1"/>
  <c r="M520" i="1"/>
  <c r="M880" i="1"/>
  <c r="M261" i="1"/>
  <c r="M521" i="1"/>
  <c r="M917" i="1"/>
  <c r="M918" i="1"/>
  <c r="M919" i="1"/>
  <c r="M1076" i="1"/>
  <c r="M459" i="1"/>
  <c r="M920" i="1"/>
  <c r="M173" i="1"/>
  <c r="M268" i="1"/>
  <c r="M174" i="1"/>
  <c r="M269" i="1"/>
  <c r="M175" i="1"/>
  <c r="M753" i="1"/>
  <c r="M706" i="1"/>
  <c r="M90" i="1"/>
  <c r="M475" i="1"/>
  <c r="M270" i="1"/>
  <c r="M176" i="1"/>
  <c r="M320" i="1"/>
  <c r="M321" i="1"/>
  <c r="M322" i="1"/>
  <c r="M323" i="1"/>
  <c r="M212" i="1"/>
  <c r="M1102" i="1"/>
  <c r="M1103" i="1"/>
  <c r="M1104" i="1"/>
  <c r="M1172" i="1"/>
  <c r="M552" i="1"/>
  <c r="M1105" i="1"/>
  <c r="M649" i="1"/>
  <c r="M650" i="1"/>
  <c r="M651" i="1"/>
  <c r="M945" i="1"/>
  <c r="M325" i="1"/>
  <c r="M652" i="1"/>
  <c r="M406" i="1"/>
  <c r="M1090" i="1"/>
  <c r="M1091" i="1"/>
  <c r="M1092" i="1"/>
  <c r="M1166" i="1"/>
  <c r="M547" i="1"/>
  <c r="M1093" i="1"/>
  <c r="M400" i="1"/>
  <c r="M668" i="1"/>
  <c r="M669" i="1"/>
  <c r="M952" i="1"/>
  <c r="M670" i="1"/>
  <c r="M95" i="1"/>
  <c r="M259" i="1"/>
  <c r="M276" i="1"/>
  <c r="M317" i="1"/>
  <c r="M440" i="1"/>
  <c r="M457" i="1"/>
  <c r="M499" i="1"/>
  <c r="M545" i="1"/>
  <c r="M376" i="1"/>
  <c r="M768" i="1"/>
  <c r="M816" i="1"/>
  <c r="M710" i="1"/>
  <c r="M1099" i="1"/>
  <c r="M119" i="1"/>
  <c r="M487" i="1"/>
  <c r="M646" i="1"/>
  <c r="M1236" i="1"/>
  <c r="M141" i="1"/>
  <c r="M254" i="1"/>
  <c r="M364" i="1"/>
  <c r="M1165" i="1"/>
  <c r="M527" i="1"/>
  <c r="M1087" i="1"/>
  <c r="M1218" i="1"/>
  <c r="M1147" i="1"/>
  <c r="M65" i="1"/>
  <c r="M71" i="1"/>
  <c r="M293" i="1"/>
  <c r="M299" i="1"/>
  <c r="M826" i="1"/>
  <c r="M798" i="1"/>
  <c r="M77" i="1"/>
  <c r="M335" i="1"/>
  <c r="M640" i="1"/>
  <c r="M664" i="1"/>
  <c r="M1023" i="1"/>
  <c r="M429" i="1"/>
  <c r="M1206" i="1"/>
  <c r="M35" i="1"/>
  <c r="M89" i="1"/>
  <c r="M598" i="1"/>
  <c r="M868" i="1"/>
  <c r="M1052" i="1"/>
  <c r="M1075" i="1"/>
  <c r="M1153" i="1"/>
  <c r="M568" i="1"/>
  <c r="M574" i="1"/>
  <c r="M728" i="1"/>
  <c r="M978" i="1"/>
  <c r="M29" i="1"/>
  <c r="M792" i="1"/>
  <c r="M967" i="1"/>
  <c r="M206" i="1"/>
  <c r="M423" i="1"/>
  <c r="M469" i="1"/>
  <c r="M539" i="1"/>
  <c r="M616" i="1"/>
  <c r="M622" i="1"/>
  <c r="M41" i="1"/>
  <c r="M862" i="1"/>
  <c r="M1212" i="1"/>
  <c r="M1224" i="1"/>
  <c r="M11" i="1"/>
  <c r="M53" i="1"/>
  <c r="M446" i="1"/>
  <c r="M628" i="1"/>
  <c r="M1200" i="1"/>
  <c r="M23" i="1"/>
  <c r="M370" i="1"/>
  <c r="M17" i="1"/>
  <c r="M42" i="1"/>
  <c r="M73" i="1"/>
  <c r="M97" i="1"/>
  <c r="M121" i="1"/>
  <c r="M132" i="1"/>
  <c r="M137" i="1"/>
  <c r="M159" i="1"/>
  <c r="M220" i="1"/>
  <c r="M231" i="1"/>
  <c r="M250" i="1"/>
  <c r="M260" i="1"/>
  <c r="M272" i="1"/>
  <c r="M189" i="1"/>
  <c r="M342" i="1"/>
  <c r="M390" i="1"/>
  <c r="M408" i="1"/>
  <c r="M447" i="1"/>
  <c r="M448" i="1"/>
  <c r="M563" i="1"/>
  <c r="M66" i="1"/>
  <c r="M354" i="1"/>
  <c r="M494" i="1"/>
  <c r="M551" i="1"/>
  <c r="M564" i="1"/>
  <c r="M60" i="1"/>
  <c r="M96" i="1"/>
  <c r="M594" i="1"/>
  <c r="M244" i="1"/>
  <c r="M324" i="1"/>
  <c r="M353" i="1"/>
  <c r="M465" i="1"/>
  <c r="M476" i="1"/>
  <c r="M529" i="1"/>
  <c r="M72" i="1"/>
  <c r="M79" i="1"/>
  <c r="M115" i="1"/>
  <c r="M389" i="1"/>
  <c r="M464" i="1"/>
  <c r="M30" i="1"/>
  <c r="M127" i="1"/>
  <c r="M183" i="1"/>
  <c r="M413" i="1"/>
  <c r="M582" i="1"/>
  <c r="M599" i="1"/>
  <c r="M243" i="1"/>
  <c r="M266" i="1"/>
  <c r="M516" i="1"/>
  <c r="M546" i="1"/>
  <c r="M611" i="1"/>
  <c r="M575" i="1"/>
  <c r="M31" i="1"/>
  <c r="M36" i="1"/>
  <c r="M318" i="1"/>
  <c r="M84" i="1"/>
  <c r="M85" i="1"/>
  <c r="M148" i="1"/>
  <c r="M149" i="1"/>
  <c r="M458" i="1"/>
  <c r="M414" i="1"/>
  <c r="M401" i="1"/>
  <c r="M37" i="1"/>
  <c r="M49" i="1"/>
  <c r="M61" i="1"/>
  <c r="M166" i="1"/>
  <c r="M226" i="1"/>
  <c r="M301" i="1"/>
  <c r="M319" i="1"/>
  <c r="M331" i="1"/>
  <c r="M360" i="1"/>
  <c r="M511" i="1"/>
  <c r="M587" i="1"/>
  <c r="M214" i="1"/>
  <c r="M605" i="1"/>
  <c r="M18" i="1"/>
  <c r="M43" i="1"/>
  <c r="M300" i="1"/>
  <c r="M435" i="1"/>
  <c r="M453" i="1"/>
  <c r="M523" i="1"/>
  <c r="M528" i="1"/>
  <c r="M534" i="1"/>
  <c r="M540" i="1"/>
  <c r="M576" i="1"/>
  <c r="M153" i="1"/>
  <c r="M395" i="1"/>
  <c r="M267" i="1"/>
  <c r="M283" i="1"/>
  <c r="M288" i="1"/>
  <c r="M294" i="1"/>
  <c r="M365" i="1"/>
  <c r="M489" i="1"/>
  <c r="M120" i="1"/>
  <c r="M207" i="1"/>
  <c r="M196" i="1"/>
  <c r="M2" i="1"/>
  <c r="M396" i="1"/>
  <c r="M483" i="1"/>
  <c r="M103" i="1"/>
  <c r="M213" i="1"/>
  <c r="M237" i="1"/>
  <c r="M271" i="1"/>
  <c r="M307" i="1"/>
  <c r="M312" i="1"/>
  <c r="M19" i="1"/>
  <c r="M232" i="1"/>
  <c r="M289" i="1"/>
  <c r="M306" i="1"/>
  <c r="M372" i="1"/>
  <c r="M430" i="1"/>
  <c r="M441" i="1"/>
  <c r="M562" i="1"/>
  <c r="M606" i="1"/>
  <c r="M612" i="1"/>
  <c r="M6" i="1"/>
  <c r="M25" i="1"/>
  <c r="M225" i="1"/>
  <c r="M313" i="1"/>
  <c r="M600" i="1"/>
  <c r="M12" i="1"/>
  <c r="M108" i="1"/>
  <c r="M160" i="1"/>
  <c r="M184" i="1"/>
  <c r="M238" i="1"/>
  <c r="M7" i="1"/>
  <c r="M202" i="1"/>
  <c r="M201" i="1"/>
  <c r="M660" i="1"/>
  <c r="M666" i="1"/>
  <c r="M694" i="1"/>
  <c r="M717" i="1"/>
  <c r="M740" i="1"/>
  <c r="M747" i="1"/>
  <c r="M758" i="1"/>
  <c r="M776" i="1"/>
  <c r="M841" i="1"/>
  <c r="M848" i="1"/>
  <c r="M869" i="1"/>
  <c r="M875" i="1"/>
  <c r="M892" i="1"/>
  <c r="M806" i="1"/>
  <c r="M957" i="1"/>
  <c r="M1001" i="1"/>
  <c r="M1007" i="1"/>
  <c r="M1024" i="1"/>
  <c r="M1060" i="1"/>
  <c r="M1065" i="1"/>
  <c r="M1178" i="1"/>
  <c r="M683" i="1"/>
  <c r="M973" i="1"/>
  <c r="M1107" i="1"/>
  <c r="M1167" i="1"/>
  <c r="M1183" i="1"/>
  <c r="M677" i="1"/>
  <c r="M712" i="1"/>
  <c r="M1213" i="1"/>
  <c r="M863" i="1"/>
  <c r="M940" i="1"/>
  <c r="M969" i="1"/>
  <c r="M1089" i="1"/>
  <c r="M1148" i="1"/>
  <c r="M689" i="1"/>
  <c r="M700" i="1"/>
  <c r="M734" i="1"/>
  <c r="M1002" i="1"/>
  <c r="M1077" i="1"/>
  <c r="M648" i="1"/>
  <c r="M746" i="1"/>
  <c r="M800" i="1"/>
  <c r="M1025" i="1"/>
  <c r="M1201" i="1"/>
  <c r="M1214" i="1"/>
  <c r="M858" i="1"/>
  <c r="M881" i="1"/>
  <c r="M1131" i="1"/>
  <c r="M1161" i="1"/>
  <c r="M1226" i="1"/>
  <c r="M1190" i="1"/>
  <c r="M653" i="1"/>
  <c r="M654" i="1"/>
  <c r="M934" i="1"/>
  <c r="M701" i="1"/>
  <c r="M705" i="1"/>
  <c r="M764" i="1"/>
  <c r="M769" i="1"/>
  <c r="M1071" i="1"/>
  <c r="M1030" i="1"/>
  <c r="M1014" i="1"/>
  <c r="M659" i="1"/>
  <c r="M671" i="1"/>
  <c r="M682" i="1"/>
  <c r="M787" i="1"/>
  <c r="M847" i="1"/>
  <c r="M921" i="1"/>
  <c r="M939" i="1"/>
  <c r="M951" i="1"/>
  <c r="M979" i="1"/>
  <c r="M1130" i="1"/>
  <c r="M1202" i="1"/>
  <c r="M835" i="1"/>
  <c r="M1220" i="1"/>
  <c r="M636" i="1"/>
  <c r="M665" i="1"/>
  <c r="M916" i="1"/>
  <c r="M962" i="1"/>
  <c r="M1048" i="1"/>
  <c r="M1070" i="1"/>
  <c r="M1142" i="1"/>
  <c r="M1143" i="1"/>
  <c r="M1155" i="1"/>
  <c r="M1195" i="1"/>
  <c r="M770" i="1"/>
  <c r="M1008" i="1"/>
  <c r="M886" i="1"/>
  <c r="M903" i="1"/>
  <c r="M904" i="1"/>
  <c r="M910" i="1"/>
  <c r="M980" i="1"/>
  <c r="M1106" i="1"/>
  <c r="M635" i="1"/>
  <c r="M735" i="1"/>
  <c r="M828" i="1"/>
  <c r="M817" i="1"/>
  <c r="M623" i="1"/>
  <c r="M1013" i="1"/>
  <c r="M1100" i="1"/>
  <c r="M723" i="1"/>
  <c r="M830" i="1"/>
  <c r="M854" i="1"/>
  <c r="M887" i="1"/>
  <c r="M927" i="1"/>
  <c r="M928" i="1"/>
  <c r="M641" i="1"/>
  <c r="M853" i="1"/>
  <c r="M909" i="1"/>
  <c r="M922" i="1"/>
  <c r="M990" i="1"/>
  <c r="M1047" i="1"/>
  <c r="M1054" i="1"/>
  <c r="M1177" i="1"/>
  <c r="M1225" i="1"/>
  <c r="M1231" i="1"/>
  <c r="M624" i="1"/>
  <c r="M647" i="1"/>
  <c r="M842" i="1"/>
  <c r="M933" i="1"/>
  <c r="M1219" i="1"/>
  <c r="M630" i="1"/>
  <c r="M724" i="1"/>
  <c r="M781" i="1"/>
  <c r="M805" i="1"/>
  <c r="M857" i="1"/>
  <c r="M629" i="1"/>
  <c r="M819" i="1"/>
  <c r="M818" i="1"/>
  <c r="M82" i="1"/>
  <c r="M94" i="1"/>
  <c r="M146" i="1"/>
  <c r="M193" i="1"/>
  <c r="M241" i="1"/>
  <c r="M258" i="1"/>
  <c r="M275" i="1"/>
  <c r="M316" i="1"/>
  <c r="M439" i="1"/>
  <c r="M456" i="1"/>
  <c r="M498" i="1"/>
  <c r="M514" i="1"/>
  <c r="M544" i="1"/>
  <c r="M375" i="1"/>
  <c r="M680" i="1"/>
  <c r="M767" i="1"/>
  <c r="M779" i="1"/>
  <c r="M815" i="1"/>
  <c r="M896" i="1"/>
  <c r="M130" i="1"/>
  <c r="M709" i="1"/>
  <c r="M983" i="1"/>
  <c r="M1098" i="1"/>
  <c r="M1128" i="1"/>
  <c r="M118" i="1"/>
  <c r="M486" i="1"/>
  <c r="M645" i="1"/>
  <c r="M931" i="1"/>
  <c r="M949" i="1"/>
  <c r="M1057" i="1"/>
  <c r="M1235" i="1"/>
  <c r="M140" i="1"/>
  <c r="M157" i="1"/>
  <c r="M229" i="1"/>
  <c r="M773" i="1"/>
  <c r="M925" i="1"/>
  <c r="M253" i="1"/>
  <c r="M363" i="1"/>
  <c r="M824" i="1"/>
  <c r="M1164" i="1"/>
  <c r="M1193" i="1"/>
  <c r="M480" i="1"/>
  <c r="M526" i="1"/>
  <c r="M1028" i="1"/>
  <c r="M1086" i="1"/>
  <c r="M1217" i="1"/>
  <c r="M1146" i="1"/>
  <c r="M64" i="1"/>
  <c r="M70" i="1"/>
  <c r="M633" i="1"/>
  <c r="M163" i="1"/>
  <c r="M292" i="1"/>
  <c r="M825" i="1"/>
  <c r="M797" i="1"/>
  <c r="M100" i="1"/>
  <c r="M124" i="1"/>
  <c r="M451" i="1"/>
  <c r="M603" i="1"/>
  <c r="M639" i="1"/>
  <c r="M663" i="1"/>
  <c r="M1022" i="1"/>
  <c r="M1205" i="1"/>
  <c r="M34" i="1"/>
  <c r="M88" i="1"/>
  <c r="M597" i="1"/>
  <c r="M867" i="1"/>
  <c r="M907" i="1"/>
  <c r="M1045" i="1"/>
  <c r="M1051" i="1"/>
  <c r="M1063" i="1"/>
  <c r="M1074" i="1"/>
  <c r="M304" i="1"/>
  <c r="M785" i="1"/>
  <c r="M532" i="1"/>
  <c r="M567" i="1"/>
  <c r="M573" i="1"/>
  <c r="M585" i="1"/>
  <c r="M727" i="1"/>
  <c r="M977" i="1"/>
  <c r="M28" i="1"/>
  <c r="M235" i="1"/>
  <c r="M411" i="1"/>
  <c r="M393" i="1"/>
  <c r="M4" i="1"/>
  <c r="M791" i="1"/>
  <c r="M966" i="1"/>
  <c r="M205" i="1"/>
  <c r="M422" i="1"/>
  <c r="M468" i="1"/>
  <c r="M538" i="1"/>
  <c r="M615" i="1"/>
  <c r="M40" i="1"/>
  <c r="M462" i="1"/>
  <c r="M579" i="1"/>
  <c r="M744" i="1"/>
  <c r="M861" i="1"/>
  <c r="M878" i="1"/>
  <c r="M1211" i="1"/>
  <c r="M1223" i="1"/>
  <c r="M10" i="1"/>
  <c r="M52" i="1"/>
  <c r="M445" i="1"/>
  <c r="M627" i="1"/>
  <c r="M1199" i="1"/>
  <c r="M22" i="1"/>
  <c r="M211" i="1"/>
  <c r="M369" i="1"/>
  <c r="M474" i="1"/>
  <c r="M16" i="1"/>
  <c r="M405" i="1"/>
  <c r="M399" i="1"/>
  <c r="M81" i="1"/>
  <c r="M93" i="1"/>
  <c r="M145" i="1"/>
  <c r="M240" i="1"/>
  <c r="M257" i="1"/>
  <c r="M274" i="1"/>
  <c r="M315" i="1"/>
  <c r="M438" i="1"/>
  <c r="M455" i="1"/>
  <c r="M497" i="1"/>
  <c r="M513" i="1"/>
  <c r="M543" i="1"/>
  <c r="M374" i="1"/>
  <c r="M679" i="1"/>
  <c r="M766" i="1"/>
  <c r="M778" i="1"/>
  <c r="M814" i="1"/>
  <c r="M129" i="1"/>
  <c r="M708" i="1"/>
  <c r="M982" i="1"/>
  <c r="M1097" i="1"/>
  <c r="M117" i="1"/>
  <c r="M186" i="1"/>
  <c r="M485" i="1"/>
  <c r="M644" i="1"/>
  <c r="M948" i="1"/>
  <c r="M1056" i="1"/>
  <c r="M1234" i="1"/>
  <c r="M139" i="1"/>
  <c r="M156" i="1"/>
  <c r="M228" i="1"/>
  <c r="M772" i="1"/>
  <c r="M924" i="1"/>
  <c r="M252" i="1"/>
  <c r="M362" i="1"/>
  <c r="M822" i="1"/>
  <c r="M1163" i="1"/>
  <c r="M1192" i="1"/>
  <c r="M479" i="1"/>
  <c r="M525" i="1"/>
  <c r="M1027" i="1"/>
  <c r="M1085" i="1"/>
  <c r="M1216" i="1"/>
  <c r="M63" i="1"/>
  <c r="M69" i="1"/>
  <c r="M632" i="1"/>
  <c r="M162" i="1"/>
  <c r="M291" i="1"/>
  <c r="M297" i="1"/>
  <c r="M912" i="1"/>
  <c r="M823" i="1"/>
  <c r="M796" i="1"/>
  <c r="M75" i="1"/>
  <c r="M99" i="1"/>
  <c r="M123" i="1"/>
  <c r="M450" i="1"/>
  <c r="M602" i="1"/>
  <c r="M638" i="1"/>
  <c r="M662" i="1"/>
  <c r="M720" i="1"/>
  <c r="M1021" i="1"/>
  <c r="M1169" i="1"/>
  <c r="M1204" i="1"/>
  <c r="M33" i="1"/>
  <c r="M87" i="1"/>
  <c r="M596" i="1"/>
  <c r="M866" i="1"/>
  <c r="M906" i="1"/>
  <c r="M1044" i="1"/>
  <c r="M1050" i="1"/>
  <c r="M1062" i="1"/>
  <c r="M1073" i="1"/>
  <c r="M1151" i="1"/>
  <c r="M303" i="1"/>
  <c r="M784" i="1"/>
  <c r="M531" i="1"/>
  <c r="M566" i="1"/>
  <c r="M572" i="1"/>
  <c r="M584" i="1"/>
  <c r="M726" i="1"/>
  <c r="M976" i="1"/>
  <c r="M27" i="1"/>
  <c r="M234" i="1"/>
  <c r="M392" i="1"/>
  <c r="M3" i="1"/>
  <c r="M790" i="1"/>
  <c r="M965" i="1"/>
  <c r="M204" i="1"/>
  <c r="M421" i="1"/>
  <c r="M467" i="1"/>
  <c r="M537" i="1"/>
  <c r="M614" i="1"/>
  <c r="M39" i="1"/>
  <c r="M461" i="1"/>
  <c r="M578" i="1"/>
  <c r="M743" i="1"/>
  <c r="M860" i="1"/>
  <c r="M877" i="1"/>
  <c r="M1115" i="1"/>
  <c r="M1210" i="1"/>
  <c r="M1222" i="1"/>
  <c r="M9" i="1"/>
  <c r="M51" i="1"/>
  <c r="M444" i="1"/>
  <c r="M626" i="1"/>
  <c r="M1198" i="1"/>
  <c r="M21" i="1"/>
  <c r="M210" i="1"/>
  <c r="M368" i="1"/>
  <c r="M473" i="1"/>
  <c r="M15" i="1"/>
  <c r="M404" i="1"/>
  <c r="M398" i="1"/>
  <c r="M80" i="1"/>
  <c r="M92" i="1"/>
  <c r="M144" i="1"/>
  <c r="M239" i="1"/>
  <c r="M256" i="1"/>
  <c r="M273" i="1"/>
  <c r="M314" i="1"/>
  <c r="M437" i="1"/>
  <c r="M454" i="1"/>
  <c r="M496" i="1"/>
  <c r="M512" i="1"/>
  <c r="M542" i="1"/>
  <c r="M373" i="1"/>
  <c r="M678" i="1"/>
  <c r="M765" i="1"/>
  <c r="M777" i="1"/>
  <c r="M813" i="1"/>
  <c r="M894" i="1"/>
  <c r="M128" i="1"/>
  <c r="M707" i="1"/>
  <c r="M981" i="1"/>
  <c r="M1096" i="1"/>
  <c r="M1126" i="1"/>
  <c r="M116" i="1"/>
  <c r="M185" i="1"/>
  <c r="M484" i="1"/>
  <c r="M643" i="1"/>
  <c r="M947" i="1"/>
  <c r="M1055" i="1"/>
  <c r="M1233" i="1"/>
  <c r="M138" i="1"/>
  <c r="M155" i="1"/>
  <c r="M227" i="1"/>
  <c r="M771" i="1"/>
  <c r="M923" i="1"/>
  <c r="M251" i="1"/>
  <c r="M361" i="1"/>
  <c r="M820" i="1"/>
  <c r="M1162" i="1"/>
  <c r="M1191" i="1"/>
  <c r="M478" i="1"/>
  <c r="M524" i="1"/>
  <c r="M1026" i="1"/>
  <c r="M1084" i="1"/>
  <c r="M1215" i="1"/>
  <c r="M1144" i="1"/>
  <c r="M62" i="1"/>
  <c r="M68" i="1"/>
  <c r="M631" i="1"/>
  <c r="M161" i="1"/>
  <c r="M290" i="1"/>
  <c r="M296" i="1"/>
  <c r="M911" i="1"/>
  <c r="M821" i="1"/>
  <c r="M795" i="1"/>
  <c r="M74" i="1"/>
  <c r="M98" i="1"/>
  <c r="M122" i="1"/>
  <c r="M332" i="1"/>
  <c r="M449" i="1"/>
  <c r="M601" i="1"/>
  <c r="M637" i="1"/>
  <c r="M661" i="1"/>
  <c r="M719" i="1"/>
  <c r="M1020" i="1"/>
  <c r="M1168" i="1"/>
  <c r="M1203" i="1"/>
  <c r="M32" i="1"/>
  <c r="M86" i="1"/>
  <c r="M595" i="1"/>
  <c r="M865" i="1"/>
  <c r="M905" i="1"/>
  <c r="M1043" i="1"/>
  <c r="M1049" i="1"/>
  <c r="M1061" i="1"/>
  <c r="M1072" i="1"/>
  <c r="M1150" i="1"/>
  <c r="M302" i="1"/>
  <c r="M783" i="1"/>
  <c r="M530" i="1"/>
  <c r="M565" i="1"/>
  <c r="M571" i="1"/>
  <c r="M583" i="1"/>
  <c r="M725" i="1"/>
  <c r="M975" i="1"/>
  <c r="M26" i="1"/>
  <c r="M233" i="1"/>
  <c r="M391" i="1"/>
  <c r="M964" i="1"/>
  <c r="M203" i="1"/>
  <c r="M420" i="1"/>
  <c r="M466" i="1"/>
  <c r="M536" i="1"/>
  <c r="M613" i="1"/>
  <c r="M38" i="1"/>
  <c r="M460" i="1"/>
  <c r="M577" i="1"/>
  <c r="M742" i="1"/>
  <c r="M859" i="1"/>
  <c r="M876" i="1"/>
  <c r="M1114" i="1"/>
  <c r="M1209" i="1"/>
  <c r="M1221" i="1"/>
  <c r="M8" i="1"/>
  <c r="M50" i="1"/>
  <c r="M443" i="1"/>
  <c r="M625" i="1"/>
  <c r="M1197" i="1"/>
  <c r="M20" i="1"/>
  <c r="M14" i="1"/>
  <c r="M403" i="1"/>
  <c r="M209" i="1"/>
  <c r="M367" i="1"/>
  <c r="M472" i="1"/>
  <c r="M397" i="1"/>
  <c r="M667" i="1"/>
  <c r="Q1317" i="1" l="1"/>
  <c r="Q1301" i="1"/>
  <c r="Q1281" i="1"/>
  <c r="Q1326" i="1"/>
  <c r="Q1325" i="1"/>
  <c r="Q1303" i="1"/>
  <c r="Q1280" i="1"/>
  <c r="Q1256" i="1"/>
  <c r="Q1304" i="1"/>
  <c r="Q1257" i="1"/>
  <c r="Q1299" i="1"/>
  <c r="Q1276" i="1"/>
  <c r="Q1254" i="1"/>
  <c r="Q1252" i="1"/>
  <c r="Q1321" i="1"/>
  <c r="Q1337" i="1"/>
  <c r="Q1270" i="1"/>
  <c r="Q1316" i="1"/>
  <c r="Q1294" i="1"/>
  <c r="Q1322" i="1"/>
  <c r="Q1300" i="1"/>
  <c r="Q1277" i="1"/>
  <c r="Q1253" i="1"/>
  <c r="Q1319" i="1"/>
  <c r="Q1297" i="1"/>
  <c r="Q1273" i="1"/>
  <c r="Q1336" i="1"/>
  <c r="Q1314" i="1"/>
  <c r="Q1292" i="1"/>
  <c r="Q1268" i="1"/>
  <c r="Q1333" i="1"/>
  <c r="Q1310" i="1"/>
  <c r="Q1288" i="1"/>
  <c r="Q1264" i="1"/>
  <c r="Q1332" i="1"/>
  <c r="Q1309" i="1"/>
  <c r="Q1287" i="1"/>
  <c r="Q1263" i="1"/>
  <c r="Q1330" i="1"/>
  <c r="Q1285" i="1"/>
  <c r="Q1261" i="1"/>
  <c r="Q1329" i="1"/>
  <c r="Q1307" i="1"/>
  <c r="Q1284" i="1"/>
  <c r="Q1260" i="1"/>
</calcChain>
</file>

<file path=xl/sharedStrings.xml><?xml version="1.0" encoding="utf-8"?>
<sst xmlns="http://schemas.openxmlformats.org/spreadsheetml/2006/main" count="8899" uniqueCount="762">
  <si>
    <t>Séance</t>
  </si>
  <si>
    <t>Date</t>
  </si>
  <si>
    <t>Heure de début</t>
  </si>
  <si>
    <t>Heure de fin</t>
  </si>
  <si>
    <t>Type d'émargement</t>
  </si>
  <si>
    <t>Statut de l'émargement</t>
  </si>
  <si>
    <t>Étudiant</t>
  </si>
  <si>
    <t>Étudiant - Nom</t>
  </si>
  <si>
    <t>Statut de l'étudiant</t>
  </si>
  <si>
    <t>QR Code</t>
  </si>
  <si>
    <t>Émargée</t>
  </si>
  <si>
    <t>aberson</t>
  </si>
  <si>
    <t>Antonin</t>
  </si>
  <si>
    <t>Berson</t>
  </si>
  <si>
    <t>ABSENCE</t>
  </si>
  <si>
    <t>abich</t>
  </si>
  <si>
    <t>Alphonse</t>
  </si>
  <si>
    <t>Bich</t>
  </si>
  <si>
    <t>PRESENCE</t>
  </si>
  <si>
    <t>abomont</t>
  </si>
  <si>
    <t>Albert</t>
  </si>
  <si>
    <t>Bomont</t>
  </si>
  <si>
    <t>acarde</t>
  </si>
  <si>
    <t>Anaïs</t>
  </si>
  <si>
    <t>Carde</t>
  </si>
  <si>
    <t>achristophe1</t>
  </si>
  <si>
    <t>Christophe</t>
  </si>
  <si>
    <t>adecaens</t>
  </si>
  <si>
    <t>Aloïs</t>
  </si>
  <si>
    <t>Decaëns</t>
  </si>
  <si>
    <t>adelhoume</t>
  </si>
  <si>
    <t>Antoine</t>
  </si>
  <si>
    <t>Delhoume</t>
  </si>
  <si>
    <t>adorlandepolignac</t>
  </si>
  <si>
    <t>Allan</t>
  </si>
  <si>
    <t>d'Orlan de Polignac</t>
  </si>
  <si>
    <t>aeorthmannreichenbach</t>
  </si>
  <si>
    <t>Ariel, Eric</t>
  </si>
  <si>
    <t>Orthmann--Reichenbach</t>
  </si>
  <si>
    <t>aesmaeilzadeh</t>
  </si>
  <si>
    <t>Aseman</t>
  </si>
  <si>
    <t>Esmaeilzadeh</t>
  </si>
  <si>
    <t>agautier</t>
  </si>
  <si>
    <t>Arthur</t>
  </si>
  <si>
    <t>Gautier</t>
  </si>
  <si>
    <t>agrizard</t>
  </si>
  <si>
    <t>Alexis</t>
  </si>
  <si>
    <t>Grizard</t>
  </si>
  <si>
    <t>agross1</t>
  </si>
  <si>
    <t>Ansel</t>
  </si>
  <si>
    <t>Gross</t>
  </si>
  <si>
    <t>aguyduche</t>
  </si>
  <si>
    <t>Adrien</t>
  </si>
  <si>
    <t>Guy-Duché</t>
  </si>
  <si>
    <t>ahuerta</t>
  </si>
  <si>
    <t>Alonso</t>
  </si>
  <si>
    <t>Huerta</t>
  </si>
  <si>
    <t>ajeannot</t>
  </si>
  <si>
    <t>Jeannot</t>
  </si>
  <si>
    <t>akerouanton</t>
  </si>
  <si>
    <t>Ariane</t>
  </si>
  <si>
    <t>Kerouanton</t>
  </si>
  <si>
    <t>alvgalichet</t>
  </si>
  <si>
    <t>Adèle, Lili, Violette</t>
  </si>
  <si>
    <t>Galichet</t>
  </si>
  <si>
    <t>amansart</t>
  </si>
  <si>
    <t>Adélaïde</t>
  </si>
  <si>
    <t>Mansart</t>
  </si>
  <si>
    <t>amoen</t>
  </si>
  <si>
    <t>Alan</t>
  </si>
  <si>
    <t>Moen</t>
  </si>
  <si>
    <t>amoreira1</t>
  </si>
  <si>
    <t>Arcadi</t>
  </si>
  <si>
    <t>Moreira</t>
  </si>
  <si>
    <t>anantois</t>
  </si>
  <si>
    <t>Abel</t>
  </si>
  <si>
    <t>Nantois</t>
  </si>
  <si>
    <t>aolech</t>
  </si>
  <si>
    <t>Alexandre</t>
  </si>
  <si>
    <t>Olech</t>
  </si>
  <si>
    <t>apesnel</t>
  </si>
  <si>
    <t>Armand</t>
  </si>
  <si>
    <t>Pesnel</t>
  </si>
  <si>
    <t>apichard</t>
  </si>
  <si>
    <t>Pichard</t>
  </si>
  <si>
    <t>arauline</t>
  </si>
  <si>
    <t>Rauline</t>
  </si>
  <si>
    <t>athevenin</t>
  </si>
  <si>
    <t>Alice</t>
  </si>
  <si>
    <t>Thevenin</t>
  </si>
  <si>
    <t>atorres</t>
  </si>
  <si>
    <t>Afonso</t>
  </si>
  <si>
    <t>Torres</t>
  </si>
  <si>
    <t>bnaji</t>
  </si>
  <si>
    <t>Bilal</t>
  </si>
  <si>
    <t>Naji</t>
  </si>
  <si>
    <t>cbrunet</t>
  </si>
  <si>
    <t>Clément</t>
  </si>
  <si>
    <t>Brunet</t>
  </si>
  <si>
    <t>ccoppola</t>
  </si>
  <si>
    <t>Christiana</t>
  </si>
  <si>
    <t>Coppola</t>
  </si>
  <si>
    <t>cmellardi</t>
  </si>
  <si>
    <t>Coralie</t>
  </si>
  <si>
    <t>Mellardi</t>
  </si>
  <si>
    <t>cpauvert</t>
  </si>
  <si>
    <t>Pauvert</t>
  </si>
  <si>
    <t>croszak</t>
  </si>
  <si>
    <t>Cyrielle</t>
  </si>
  <si>
    <t>Roszak</t>
  </si>
  <si>
    <t>crouge</t>
  </si>
  <si>
    <t>Chloë</t>
  </si>
  <si>
    <t>Rouge</t>
  </si>
  <si>
    <t>croussev</t>
  </si>
  <si>
    <t>Chloé</t>
  </si>
  <si>
    <t>Roussev</t>
  </si>
  <si>
    <t>ctallet1</t>
  </si>
  <si>
    <t>Clovis</t>
  </si>
  <si>
    <t>Tallet</t>
  </si>
  <si>
    <t>ctissus</t>
  </si>
  <si>
    <t>Célestin</t>
  </si>
  <si>
    <t>Tissus</t>
  </si>
  <si>
    <t>cvallapesendorfer</t>
  </si>
  <si>
    <t>Camille</t>
  </si>
  <si>
    <t>Valla Pesendorfer</t>
  </si>
  <si>
    <t>dbondetdelabernardie</t>
  </si>
  <si>
    <t>Derek</t>
  </si>
  <si>
    <t>Bondet de la Bernardie</t>
  </si>
  <si>
    <t>dcanadagutierrez</t>
  </si>
  <si>
    <t>Diego</t>
  </si>
  <si>
    <t>Canada Gutierrez</t>
  </si>
  <si>
    <t>dchoisi</t>
  </si>
  <si>
    <t>Dylan</t>
  </si>
  <si>
    <t>Choisi</t>
  </si>
  <si>
    <t>dlau</t>
  </si>
  <si>
    <t>Dimitri</t>
  </si>
  <si>
    <t>Lau</t>
  </si>
  <si>
    <t>drashdan</t>
  </si>
  <si>
    <t>Dani</t>
  </si>
  <si>
    <t>Rashdan</t>
  </si>
  <si>
    <t>dtabacaru</t>
  </si>
  <si>
    <t>David</t>
  </si>
  <si>
    <t>Tabacaru</t>
  </si>
  <si>
    <t>dwang</t>
  </si>
  <si>
    <t>Wang</t>
  </si>
  <si>
    <t>ecaron</t>
  </si>
  <si>
    <t>Etienne</t>
  </si>
  <si>
    <t>Caron</t>
  </si>
  <si>
    <t>econstable</t>
  </si>
  <si>
    <t>Elisa</t>
  </si>
  <si>
    <t>Constable</t>
  </si>
  <si>
    <t>edoumic</t>
  </si>
  <si>
    <t>Elisabeth</t>
  </si>
  <si>
    <t>Doumic</t>
  </si>
  <si>
    <t>egrandcolas</t>
  </si>
  <si>
    <t>Eliane</t>
  </si>
  <si>
    <t>Grandcolas</t>
  </si>
  <si>
    <t>ehetzel</t>
  </si>
  <si>
    <t>Éléa</t>
  </si>
  <si>
    <t>Hetzel</t>
  </si>
  <si>
    <t>ejaumemasferrer</t>
  </si>
  <si>
    <t>Enric</t>
  </si>
  <si>
    <t>Jaume Masferrer</t>
  </si>
  <si>
    <t>eleroux</t>
  </si>
  <si>
    <t>Elvire</t>
  </si>
  <si>
    <t>Leroux</t>
  </si>
  <si>
    <t>emamane</t>
  </si>
  <si>
    <t>Esther</t>
  </si>
  <si>
    <t>Mamane</t>
  </si>
  <si>
    <t>emeens</t>
  </si>
  <si>
    <t>Éléonore</t>
  </si>
  <si>
    <t>Meens</t>
  </si>
  <si>
    <t>erall</t>
  </si>
  <si>
    <t>Étienne</t>
  </si>
  <si>
    <t>Rall</t>
  </si>
  <si>
    <t>erebuschi</t>
  </si>
  <si>
    <t>Emile</t>
  </si>
  <si>
    <t>Rebuschi</t>
  </si>
  <si>
    <t>ericard</t>
  </si>
  <si>
    <t>Émile</t>
  </si>
  <si>
    <t>Ricard</t>
  </si>
  <si>
    <t>erodrigues</t>
  </si>
  <si>
    <t>Estellie</t>
  </si>
  <si>
    <t>Rodrigues</t>
  </si>
  <si>
    <t>esezestre</t>
  </si>
  <si>
    <t>Elisio</t>
  </si>
  <si>
    <t>Sezestre</t>
  </si>
  <si>
    <t>ezemihi</t>
  </si>
  <si>
    <t>Enzo</t>
  </si>
  <si>
    <t>Zemihi</t>
  </si>
  <si>
    <t>fcantau</t>
  </si>
  <si>
    <t>Félix</t>
  </si>
  <si>
    <t>Cantau</t>
  </si>
  <si>
    <t>fcasatilewandowski</t>
  </si>
  <si>
    <t>Fanny</t>
  </si>
  <si>
    <t>Casati--Lewandowski</t>
  </si>
  <si>
    <t>fcusmir</t>
  </si>
  <si>
    <t>Filip</t>
  </si>
  <si>
    <t>Cusmir</t>
  </si>
  <si>
    <t>fdeschodt</t>
  </si>
  <si>
    <t>Florian</t>
  </si>
  <si>
    <t>Deschodt</t>
  </si>
  <si>
    <t>fmartin2</t>
  </si>
  <si>
    <t>Martin</t>
  </si>
  <si>
    <t>fmoisseron</t>
  </si>
  <si>
    <t>Félicien</t>
  </si>
  <si>
    <t>Moisseron</t>
  </si>
  <si>
    <t>fprat</t>
  </si>
  <si>
    <t>Prat</t>
  </si>
  <si>
    <t>gbaltardive</t>
  </si>
  <si>
    <t>Garance</t>
  </si>
  <si>
    <t>Baltardive</t>
  </si>
  <si>
    <t>gdelattre</t>
  </si>
  <si>
    <t>Guillaume</t>
  </si>
  <si>
    <t>Delattre</t>
  </si>
  <si>
    <t>ggabel</t>
  </si>
  <si>
    <t>Gabel</t>
  </si>
  <si>
    <t>gnguyen</t>
  </si>
  <si>
    <t>Geoffrey</t>
  </si>
  <si>
    <t>Nguyen</t>
  </si>
  <si>
    <t>gsardier</t>
  </si>
  <si>
    <t>Sardier</t>
  </si>
  <si>
    <t>gvandenbroucque</t>
  </si>
  <si>
    <t>Vandenbroucque</t>
  </si>
  <si>
    <t>gwelcker</t>
  </si>
  <si>
    <t>Gwenaël</t>
  </si>
  <si>
    <t>Welcker</t>
  </si>
  <si>
    <t>hhernout</t>
  </si>
  <si>
    <t>Hugo</t>
  </si>
  <si>
    <t>Hernout</t>
  </si>
  <si>
    <t>hjarry</t>
  </si>
  <si>
    <t>Jarry</t>
  </si>
  <si>
    <t>hjoly</t>
  </si>
  <si>
    <t>Henry</t>
  </si>
  <si>
    <t>Joly</t>
  </si>
  <si>
    <t>hozenne</t>
  </si>
  <si>
    <t>Henri</t>
  </si>
  <si>
    <t>Ozenne</t>
  </si>
  <si>
    <t>hsato</t>
  </si>
  <si>
    <t>Hiromi</t>
  </si>
  <si>
    <t>Sato</t>
  </si>
  <si>
    <t>htaguchi</t>
  </si>
  <si>
    <t>Hinata</t>
  </si>
  <si>
    <t>Taguchi</t>
  </si>
  <si>
    <t>hvieuxmaire</t>
  </si>
  <si>
    <t>Héloïse</t>
  </si>
  <si>
    <t>Vieuxmaire</t>
  </si>
  <si>
    <t>hye</t>
  </si>
  <si>
    <t>Haoting</t>
  </si>
  <si>
    <t>Ye</t>
  </si>
  <si>
    <t>iterekhanov</t>
  </si>
  <si>
    <t>Ivan</t>
  </si>
  <si>
    <t>Terekhanov</t>
  </si>
  <si>
    <t>ivalem</t>
  </si>
  <si>
    <t>Valem</t>
  </si>
  <si>
    <t>izajtmann1</t>
  </si>
  <si>
    <t>Ilan</t>
  </si>
  <si>
    <t>Zajtmann</t>
  </si>
  <si>
    <t>jbarretfontealba</t>
  </si>
  <si>
    <t>Juliette</t>
  </si>
  <si>
    <t>Barret--Fontealba</t>
  </si>
  <si>
    <t>jbbatoge</t>
  </si>
  <si>
    <t>Jean-Baptiste</t>
  </si>
  <si>
    <t>Batogé</t>
  </si>
  <si>
    <t>jblemoine</t>
  </si>
  <si>
    <t>Lemoine</t>
  </si>
  <si>
    <t>jce</t>
  </si>
  <si>
    <t>Jean</t>
  </si>
  <si>
    <t>Cé</t>
  </si>
  <si>
    <t>jcharles2</t>
  </si>
  <si>
    <t>Jonas</t>
  </si>
  <si>
    <t>Charles</t>
  </si>
  <si>
    <t>jdoursout</t>
  </si>
  <si>
    <t>Jules</t>
  </si>
  <si>
    <t>Doursout</t>
  </si>
  <si>
    <t>jdu</t>
  </si>
  <si>
    <t>Jingrun</t>
  </si>
  <si>
    <t>du</t>
  </si>
  <si>
    <t>jfamchon</t>
  </si>
  <si>
    <t>Jude</t>
  </si>
  <si>
    <t>Famchon</t>
  </si>
  <si>
    <t>jferrer</t>
  </si>
  <si>
    <t>Jaume</t>
  </si>
  <si>
    <t>Ferrer Moreno</t>
  </si>
  <si>
    <t>jhuang1</t>
  </si>
  <si>
    <t>Jiayue</t>
  </si>
  <si>
    <t>Huang</t>
  </si>
  <si>
    <t>jkhalifa</t>
  </si>
  <si>
    <t>Justine</t>
  </si>
  <si>
    <t>Khalifa</t>
  </si>
  <si>
    <t>jmialon</t>
  </si>
  <si>
    <t>Joffrey</t>
  </si>
  <si>
    <t>Mialon</t>
  </si>
  <si>
    <t>jperez1</t>
  </si>
  <si>
    <t>Perez</t>
  </si>
  <si>
    <t>jpoumes</t>
  </si>
  <si>
    <t>Josserand</t>
  </si>
  <si>
    <t>Poumes</t>
  </si>
  <si>
    <t>kespinasse</t>
  </si>
  <si>
    <t>Karl</t>
  </si>
  <si>
    <t>Espinasse</t>
  </si>
  <si>
    <t>khtnguyen</t>
  </si>
  <si>
    <t>Kim-Hac-Tram</t>
  </si>
  <si>
    <t>knajerahoubiers</t>
  </si>
  <si>
    <t>Killyan</t>
  </si>
  <si>
    <t>Najera Houbiers</t>
  </si>
  <si>
    <t>ladutreix</t>
  </si>
  <si>
    <t>Lou Anne</t>
  </si>
  <si>
    <t>Dutreix</t>
  </si>
  <si>
    <t>lbelon</t>
  </si>
  <si>
    <t>Lucas</t>
  </si>
  <si>
    <t>Belon</t>
  </si>
  <si>
    <t>lbischoff1</t>
  </si>
  <si>
    <t>Louis</t>
  </si>
  <si>
    <t>Bischoff</t>
  </si>
  <si>
    <t>lbressoux</t>
  </si>
  <si>
    <t>Bressoux</t>
  </si>
  <si>
    <t>lchavanon</t>
  </si>
  <si>
    <t>Louise</t>
  </si>
  <si>
    <t>Chavanon</t>
  </si>
  <si>
    <t>lexbrayat</t>
  </si>
  <si>
    <t>Lydie</t>
  </si>
  <si>
    <t>Exbrayat</t>
  </si>
  <si>
    <t>lguilleux</t>
  </si>
  <si>
    <t>Guilleux</t>
  </si>
  <si>
    <t>llelayjardin</t>
  </si>
  <si>
    <t>Le Lay--Jardin</t>
  </si>
  <si>
    <t>lleneman</t>
  </si>
  <si>
    <t>Lior</t>
  </si>
  <si>
    <t>Leneman</t>
  </si>
  <si>
    <t>lloube</t>
  </si>
  <si>
    <t>Liza</t>
  </si>
  <si>
    <t>Loube</t>
  </si>
  <si>
    <t>lmaudry</t>
  </si>
  <si>
    <t>Lauriane</t>
  </si>
  <si>
    <t>Maudry</t>
  </si>
  <si>
    <t>lmessina</t>
  </si>
  <si>
    <t>Léo</t>
  </si>
  <si>
    <t>Messina</t>
  </si>
  <si>
    <t>lminghetti</t>
  </si>
  <si>
    <t>Minghetti</t>
  </si>
  <si>
    <t>lsardinameesemaecker</t>
  </si>
  <si>
    <t>Sardina Meesemaecker</t>
  </si>
  <si>
    <t>lvandenhole</t>
  </si>
  <si>
    <t>Vandenhole</t>
  </si>
  <si>
    <t>lvgrillo</t>
  </si>
  <si>
    <t>Loris Valentino</t>
  </si>
  <si>
    <t>Grillo</t>
  </si>
  <si>
    <t>lxiao</t>
  </si>
  <si>
    <t>Lyuwa</t>
  </si>
  <si>
    <t>Xiao</t>
  </si>
  <si>
    <t>mamellies</t>
  </si>
  <si>
    <t>Marie-Aude</t>
  </si>
  <si>
    <t>Melliès</t>
  </si>
  <si>
    <t>mangot</t>
  </si>
  <si>
    <t>Mélissa</t>
  </si>
  <si>
    <t>Angot</t>
  </si>
  <si>
    <t>mathanebest</t>
  </si>
  <si>
    <t>Madeleine</t>
  </si>
  <si>
    <t>Athané-Best</t>
  </si>
  <si>
    <t>mbianchi</t>
  </si>
  <si>
    <t>Manuela</t>
  </si>
  <si>
    <t>Bianchi</t>
  </si>
  <si>
    <t>mblouet</t>
  </si>
  <si>
    <t>Blouet</t>
  </si>
  <si>
    <t>mkim</t>
  </si>
  <si>
    <t>Minjae</t>
  </si>
  <si>
    <t>Kim</t>
  </si>
  <si>
    <t>mlauriac</t>
  </si>
  <si>
    <t>Maelys</t>
  </si>
  <si>
    <t>Lauriac</t>
  </si>
  <si>
    <t>mmarchessaury</t>
  </si>
  <si>
    <t>Milo</t>
  </si>
  <si>
    <t>Marchès--Saury</t>
  </si>
  <si>
    <t>mmetzger</t>
  </si>
  <si>
    <t>Maël</t>
  </si>
  <si>
    <t>Metzger</t>
  </si>
  <si>
    <t>mmichel1</t>
  </si>
  <si>
    <t>Mélodie</t>
  </si>
  <si>
    <t>Michel</t>
  </si>
  <si>
    <t>mmnatsakanyan</t>
  </si>
  <si>
    <t>Mariam</t>
  </si>
  <si>
    <t>Mnatsakanyan</t>
  </si>
  <si>
    <t>mnakahira1</t>
  </si>
  <si>
    <t>Meiko</t>
  </si>
  <si>
    <t>Nakahira</t>
  </si>
  <si>
    <t>mpascal1</t>
  </si>
  <si>
    <t>Miho</t>
  </si>
  <si>
    <t>Pascal</t>
  </si>
  <si>
    <t>mplait</t>
  </si>
  <si>
    <t>Plait</t>
  </si>
  <si>
    <t>mplassard1</t>
  </si>
  <si>
    <t>Morgane</t>
  </si>
  <si>
    <t>Plassard</t>
  </si>
  <si>
    <t>mroumegas</t>
  </si>
  <si>
    <t>Marie</t>
  </si>
  <si>
    <t>Roumégas</t>
  </si>
  <si>
    <t>msekfalibonnier</t>
  </si>
  <si>
    <t>Manon</t>
  </si>
  <si>
    <t>Sekfali-Bonnier</t>
  </si>
  <si>
    <t>mseto</t>
  </si>
  <si>
    <t>Mai</t>
  </si>
  <si>
    <t>Seto</t>
  </si>
  <si>
    <t>mshcherbina</t>
  </si>
  <si>
    <t>Marina</t>
  </si>
  <si>
    <t>Shcherbina</t>
  </si>
  <si>
    <t>mshiozawa</t>
  </si>
  <si>
    <t>Masaki</t>
  </si>
  <si>
    <t>Shiozawa</t>
  </si>
  <si>
    <t>mulrich</t>
  </si>
  <si>
    <t>Matéo</t>
  </si>
  <si>
    <t>Ulrich</t>
  </si>
  <si>
    <t>mvalero</t>
  </si>
  <si>
    <t>Marius</t>
  </si>
  <si>
    <t>Valero</t>
  </si>
  <si>
    <t>mvignier</t>
  </si>
  <si>
    <t>Mattéo</t>
  </si>
  <si>
    <t>Vignier</t>
  </si>
  <si>
    <t>nduboille</t>
  </si>
  <si>
    <t>Noam</t>
  </si>
  <si>
    <t>Duboille</t>
  </si>
  <si>
    <t>nemoscardo</t>
  </si>
  <si>
    <t>Nicolas, Elie</t>
  </si>
  <si>
    <t>Moscardo</t>
  </si>
  <si>
    <t>njosselin</t>
  </si>
  <si>
    <t>Nils</t>
  </si>
  <si>
    <t>Josselin</t>
  </si>
  <si>
    <t>nkittel</t>
  </si>
  <si>
    <t>Kittel</t>
  </si>
  <si>
    <t>nlancelotmahe</t>
  </si>
  <si>
    <t>Ninon</t>
  </si>
  <si>
    <t>Lancelot--Mahé</t>
  </si>
  <si>
    <t>nlastere</t>
  </si>
  <si>
    <t>Noémie</t>
  </si>
  <si>
    <t>Lastère</t>
  </si>
  <si>
    <t>nmetivierragonnet</t>
  </si>
  <si>
    <t>Naïs</t>
  </si>
  <si>
    <t>Métivier--Ragonnet</t>
  </si>
  <si>
    <t>nnadja</t>
  </si>
  <si>
    <t>Nadja</t>
  </si>
  <si>
    <t>Dornik</t>
  </si>
  <si>
    <t>nnoufel</t>
  </si>
  <si>
    <t>Nathan</t>
  </si>
  <si>
    <t>Noufel</t>
  </si>
  <si>
    <t>nrossinidefrancois</t>
  </si>
  <si>
    <t>Nino</t>
  </si>
  <si>
    <t>Rossini--Defrançois</t>
  </si>
  <si>
    <t>nroyer</t>
  </si>
  <si>
    <t>Noé</t>
  </si>
  <si>
    <t>Royer</t>
  </si>
  <si>
    <t>nsmangloma</t>
  </si>
  <si>
    <t>Noam, Sofiane, Milo</t>
  </si>
  <si>
    <t>Angloma</t>
  </si>
  <si>
    <t>odesousapires</t>
  </si>
  <si>
    <t>Oihan</t>
  </si>
  <si>
    <t>de Sousa Pires</t>
  </si>
  <si>
    <t>ogonzalezbabiaud</t>
  </si>
  <si>
    <t>Odile</t>
  </si>
  <si>
    <t>González Babiaud</t>
  </si>
  <si>
    <t>parenioult</t>
  </si>
  <si>
    <t>Pierre-Antoine</t>
  </si>
  <si>
    <t>Renioult</t>
  </si>
  <si>
    <t>pefaye</t>
  </si>
  <si>
    <t>Pierre-Emmanuel</t>
  </si>
  <si>
    <t>Faye</t>
  </si>
  <si>
    <t>pfaget</t>
  </si>
  <si>
    <t>Pierre</t>
  </si>
  <si>
    <t>Faget</t>
  </si>
  <si>
    <t>pgermanaz</t>
  </si>
  <si>
    <t>Paul</t>
  </si>
  <si>
    <t>Germanaz</t>
  </si>
  <si>
    <t>plagondjondenguinot</t>
  </si>
  <si>
    <t>Pierre Louis</t>
  </si>
  <si>
    <t>Agondjo Ndenguinot</t>
  </si>
  <si>
    <t>pmuslewski</t>
  </si>
  <si>
    <t>Muslewski</t>
  </si>
  <si>
    <t>pnschena</t>
  </si>
  <si>
    <t>Paolo</t>
  </si>
  <si>
    <t>Schena</t>
  </si>
  <si>
    <t>probilliard</t>
  </si>
  <si>
    <t>Pauline</t>
  </si>
  <si>
    <t>Robilliard</t>
  </si>
  <si>
    <t>rcohenakenine</t>
  </si>
  <si>
    <t>Raphaël</t>
  </si>
  <si>
    <t>Cohen-Akenine</t>
  </si>
  <si>
    <t>rdehors</t>
  </si>
  <si>
    <t>Rose</t>
  </si>
  <si>
    <t>Dehors</t>
  </si>
  <si>
    <t>rgatti</t>
  </si>
  <si>
    <t>Rudy</t>
  </si>
  <si>
    <t>Gatti</t>
  </si>
  <si>
    <t>rgrevin</t>
  </si>
  <si>
    <t>Grevin</t>
  </si>
  <si>
    <t>rharada</t>
  </si>
  <si>
    <t>Rei</t>
  </si>
  <si>
    <t>Harada</t>
  </si>
  <si>
    <t>rkazandjian</t>
  </si>
  <si>
    <t>Rouben</t>
  </si>
  <si>
    <t>Kazandjian</t>
  </si>
  <si>
    <t>rleblond</t>
  </si>
  <si>
    <t>Robin</t>
  </si>
  <si>
    <t>Leblond</t>
  </si>
  <si>
    <t>rleleu1</t>
  </si>
  <si>
    <t>Romane</t>
  </si>
  <si>
    <t>Leleu</t>
  </si>
  <si>
    <t>rnormand-condat</t>
  </si>
  <si>
    <t>Rébecca</t>
  </si>
  <si>
    <t>Normand-Condat</t>
  </si>
  <si>
    <t>sarchimbaudadad</t>
  </si>
  <si>
    <t>Solal</t>
  </si>
  <si>
    <t>Archimbaud--Adad</t>
  </si>
  <si>
    <t>scohen</t>
  </si>
  <si>
    <t>Shaïna</t>
  </si>
  <si>
    <t>Cohen</t>
  </si>
  <si>
    <t>shamdoun</t>
  </si>
  <si>
    <t>Sarra</t>
  </si>
  <si>
    <t>Hamdoun</t>
  </si>
  <si>
    <t>skim4</t>
  </si>
  <si>
    <t>Seohyeon</t>
  </si>
  <si>
    <t>slaquayeudine</t>
  </si>
  <si>
    <t>Sacha</t>
  </si>
  <si>
    <t>Laquay--Eudine</t>
  </si>
  <si>
    <t>sleblanclarosa</t>
  </si>
  <si>
    <t>Sarah</t>
  </si>
  <si>
    <t>Leblanc - - La Rosa</t>
  </si>
  <si>
    <t>slim</t>
  </si>
  <si>
    <t>Skylar</t>
  </si>
  <si>
    <t>Lim</t>
  </si>
  <si>
    <t>smiceli</t>
  </si>
  <si>
    <t>Salvatore</t>
  </si>
  <si>
    <t>Miceli</t>
  </si>
  <si>
    <t>spark</t>
  </si>
  <si>
    <t>Siah</t>
  </si>
  <si>
    <t>Park</t>
  </si>
  <si>
    <t>sperarnaudaramendi</t>
  </si>
  <si>
    <t>Pérarnaud Aramendi</t>
  </si>
  <si>
    <t>sschuurman</t>
  </si>
  <si>
    <t>Solveig</t>
  </si>
  <si>
    <t>Schuurman</t>
  </si>
  <si>
    <t>sshin</t>
  </si>
  <si>
    <t>Sungwon</t>
  </si>
  <si>
    <t>Shin</t>
  </si>
  <si>
    <t>ssroulette</t>
  </si>
  <si>
    <t>Soni-Sesto</t>
  </si>
  <si>
    <t>Roulette</t>
  </si>
  <si>
    <t>stheodas</t>
  </si>
  <si>
    <t>Stan</t>
  </si>
  <si>
    <t>Théodas</t>
  </si>
  <si>
    <t>syagi</t>
  </si>
  <si>
    <t>Sesshu</t>
  </si>
  <si>
    <t>Yagi</t>
  </si>
  <si>
    <t>syoon</t>
  </si>
  <si>
    <t>Seongwon</t>
  </si>
  <si>
    <t>Yoon</t>
  </si>
  <si>
    <t>taguerre</t>
  </si>
  <si>
    <t>Tristan</t>
  </si>
  <si>
    <t>Aguerre</t>
  </si>
  <si>
    <t>taubry1</t>
  </si>
  <si>
    <t>Timothée</t>
  </si>
  <si>
    <t>Aubry</t>
  </si>
  <si>
    <t>tguilbertselb</t>
  </si>
  <si>
    <t>Thomas</t>
  </si>
  <si>
    <t>Guilbert Selb</t>
  </si>
  <si>
    <t>tjen</t>
  </si>
  <si>
    <t>Takashi</t>
  </si>
  <si>
    <t>Jen</t>
  </si>
  <si>
    <t>tlemaire</t>
  </si>
  <si>
    <t>Théo</t>
  </si>
  <si>
    <t>Lemaire</t>
  </si>
  <si>
    <t>tpouye</t>
  </si>
  <si>
    <t>Pouyé</t>
  </si>
  <si>
    <t>twilson</t>
  </si>
  <si>
    <t>Tomas</t>
  </si>
  <si>
    <t>Wilson</t>
  </si>
  <si>
    <t>vamirtahmasseb</t>
  </si>
  <si>
    <t>Vincent</t>
  </si>
  <si>
    <t>Amir-Tahmasseb</t>
  </si>
  <si>
    <t>vchauvet</t>
  </si>
  <si>
    <t>Victor</t>
  </si>
  <si>
    <t>Chauvet</t>
  </si>
  <si>
    <t>vconesa</t>
  </si>
  <si>
    <t>Virgile</t>
  </si>
  <si>
    <t>Conesa</t>
  </si>
  <si>
    <t>vdieny</t>
  </si>
  <si>
    <t>Dieny</t>
  </si>
  <si>
    <t>vesnault</t>
  </si>
  <si>
    <t>Violette</t>
  </si>
  <si>
    <t>Esnault</t>
  </si>
  <si>
    <t>vgadin</t>
  </si>
  <si>
    <t>Gadin</t>
  </si>
  <si>
    <t>vharnois</t>
  </si>
  <si>
    <t>Harnois</t>
  </si>
  <si>
    <t>wtechin</t>
  </si>
  <si>
    <t>William</t>
  </si>
  <si>
    <t>Te Chin</t>
  </si>
  <si>
    <t>yamano</t>
  </si>
  <si>
    <t>Yui</t>
  </si>
  <si>
    <t>Amano</t>
  </si>
  <si>
    <t>ygomi</t>
  </si>
  <si>
    <t>Yuko</t>
  </si>
  <si>
    <t>Gomi</t>
  </si>
  <si>
    <t>yli2</t>
  </si>
  <si>
    <t>Yaokun</t>
  </si>
  <si>
    <t>Li</t>
  </si>
  <si>
    <t>ytakasaki</t>
  </si>
  <si>
    <t>Yume</t>
  </si>
  <si>
    <t>Takasaki</t>
  </si>
  <si>
    <t>zgogris</t>
  </si>
  <si>
    <t>Zéphyr</t>
  </si>
  <si>
    <t>Gogris</t>
  </si>
  <si>
    <t>zlyu</t>
  </si>
  <si>
    <t>Zhiqian</t>
  </si>
  <si>
    <t>Lyu</t>
  </si>
  <si>
    <t>(vide)</t>
  </si>
  <si>
    <t>Total général</t>
  </si>
  <si>
    <t>Nombre de Étudiant</t>
  </si>
  <si>
    <t>Nombre de Séance</t>
  </si>
  <si>
    <t>a vérifier avec les feuilles d'émargement</t>
  </si>
  <si>
    <t>a recopier a partir de la séance de 9h</t>
  </si>
  <si>
    <t>Nom prenom</t>
  </si>
  <si>
    <t>Étudiant - PréNom</t>
  </si>
  <si>
    <t xml:space="preserve">b </t>
  </si>
  <si>
    <t>Matthis</t>
  </si>
  <si>
    <t>Matthis Henry</t>
  </si>
  <si>
    <t>mhenry2</t>
  </si>
  <si>
    <t>Pollier</t>
  </si>
  <si>
    <t>Anatole Pollier</t>
  </si>
  <si>
    <t>apollier</t>
  </si>
  <si>
    <t>Anatole</t>
  </si>
  <si>
    <t>Nolot</t>
  </si>
  <si>
    <t>Léa Nolot</t>
  </si>
  <si>
    <t>lnolot</t>
  </si>
  <si>
    <t>Léa</t>
  </si>
  <si>
    <t>Eléonore</t>
  </si>
  <si>
    <t>Eléonore Meens</t>
  </si>
  <si>
    <t>Henri Ozenne</t>
  </si>
  <si>
    <t>Fiorina</t>
  </si>
  <si>
    <t>mfiorina</t>
  </si>
  <si>
    <t>Matteo</t>
  </si>
  <si>
    <t>Matteo Fiorina</t>
  </si>
  <si>
    <t>jszulcbaptista</t>
  </si>
  <si>
    <t>Szulcbaptista</t>
  </si>
  <si>
    <t>Jean Sszulcbaptista</t>
  </si>
  <si>
    <t>pcwang</t>
  </si>
  <si>
    <t>Po-Chun</t>
  </si>
  <si>
    <t>Po-Chun Wang</t>
  </si>
  <si>
    <t>Gemot</t>
  </si>
  <si>
    <t>ggemot</t>
  </si>
  <si>
    <t>Gabriel</t>
  </si>
  <si>
    <t>Gabriel Gémot</t>
  </si>
  <si>
    <t>rcorjon</t>
  </si>
  <si>
    <t>Corjon</t>
  </si>
  <si>
    <t>Romane Corjon</t>
  </si>
  <si>
    <t>mmesplededevalicourt</t>
  </si>
  <si>
    <t>Mael</t>
  </si>
  <si>
    <t>Mael De Valicourt</t>
  </si>
  <si>
    <t>Mesplède de Valicourt</t>
  </si>
  <si>
    <t>Cattiaux</t>
  </si>
  <si>
    <t>ribeyron</t>
  </si>
  <si>
    <t>Maelle</t>
  </si>
  <si>
    <t>Eugénie</t>
  </si>
  <si>
    <t>Marchal</t>
  </si>
  <si>
    <t>Valéry</t>
  </si>
  <si>
    <t>Baptiste</t>
  </si>
  <si>
    <t>Elie</t>
  </si>
  <si>
    <t>Nebra</t>
  </si>
  <si>
    <t>Solène</t>
  </si>
  <si>
    <t>Giordano</t>
  </si>
  <si>
    <t>Olivia</t>
  </si>
  <si>
    <t>Makhloufi</t>
  </si>
  <si>
    <t>Jantien</t>
  </si>
  <si>
    <t>Casier</t>
  </si>
  <si>
    <t>Paloma</t>
  </si>
  <si>
    <t>Cambianica</t>
  </si>
  <si>
    <t>Johanne</t>
  </si>
  <si>
    <t>Lerheim</t>
  </si>
  <si>
    <t>Ivo</t>
  </si>
  <si>
    <t>Gaspar Rodrigues</t>
  </si>
  <si>
    <t>Guerlavas</t>
  </si>
  <si>
    <t xml:space="preserve">Sophia </t>
  </si>
  <si>
    <t>Hennequin</t>
  </si>
  <si>
    <t>Maud</t>
  </si>
  <si>
    <t>Hérouard</t>
  </si>
  <si>
    <t>Lhomme</t>
  </si>
  <si>
    <t>Malo</t>
  </si>
  <si>
    <t>Claudia</t>
  </si>
  <si>
    <t>Del Valle</t>
  </si>
  <si>
    <t>Claire</t>
  </si>
  <si>
    <t>Raynaud-Flavier</t>
  </si>
  <si>
    <t>Lilian</t>
  </si>
  <si>
    <t>Marinot</t>
  </si>
  <si>
    <t>Anjara</t>
  </si>
  <si>
    <t>Rajaobelina</t>
  </si>
  <si>
    <t>Taraconat</t>
  </si>
  <si>
    <t>Maëliss</t>
  </si>
  <si>
    <t>Elikya</t>
  </si>
  <si>
    <t>Oniangue - Adamo</t>
  </si>
  <si>
    <t>Nieri Geraci</t>
  </si>
  <si>
    <t>De Valicourt</t>
  </si>
  <si>
    <t>léa</t>
  </si>
  <si>
    <t>Ariel</t>
  </si>
  <si>
    <t>Decreus</t>
  </si>
  <si>
    <t>Rossi</t>
  </si>
  <si>
    <t>Claira</t>
  </si>
  <si>
    <t>Léonard</t>
  </si>
  <si>
    <t>Delaurent</t>
  </si>
  <si>
    <t>Nathanaël</t>
  </si>
  <si>
    <t>Protois</t>
  </si>
  <si>
    <t>wang</t>
  </si>
  <si>
    <t>Discipline</t>
  </si>
  <si>
    <t>003481</t>
  </si>
  <si>
    <t>commentaire</t>
  </si>
  <si>
    <t>doute sur le login</t>
  </si>
  <si>
    <t>ldelaurent</t>
  </si>
  <si>
    <t>vbaptiste</t>
  </si>
  <si>
    <t>mcattiaux</t>
  </si>
  <si>
    <t>mribeyron</t>
  </si>
  <si>
    <t>emarchal</t>
  </si>
  <si>
    <t>enebra</t>
  </si>
  <si>
    <t>sgiordano</t>
  </si>
  <si>
    <t>omakhloufi</t>
  </si>
  <si>
    <t>jcasier</t>
  </si>
  <si>
    <t>pcambianica</t>
  </si>
  <si>
    <t>jlerheim</t>
  </si>
  <si>
    <t>igasparrodrigues</t>
  </si>
  <si>
    <t>nguerlavas</t>
  </si>
  <si>
    <t>shennequin</t>
  </si>
  <si>
    <t>mherouard</t>
  </si>
  <si>
    <t>alhomme</t>
  </si>
  <si>
    <t>cdelvalle</t>
  </si>
  <si>
    <t>craynaudflavier</t>
  </si>
  <si>
    <t>lmarinot</t>
  </si>
  <si>
    <t>arajaobelina</t>
  </si>
  <si>
    <t>mtaraconat</t>
  </si>
  <si>
    <t>eoniangueadamo</t>
  </si>
  <si>
    <t>enierigeraci</t>
  </si>
  <si>
    <t>mdevalicourt</t>
  </si>
  <si>
    <t>mhenry</t>
  </si>
  <si>
    <t>pwang</t>
  </si>
  <si>
    <t>a</t>
  </si>
  <si>
    <t>ndecreus</t>
  </si>
  <si>
    <t>crossi</t>
  </si>
  <si>
    <t>nprotois</t>
  </si>
  <si>
    <t>jhuang</t>
  </si>
  <si>
    <t>Ligne</t>
  </si>
  <si>
    <t>Total</t>
  </si>
  <si>
    <t>11</t>
  </si>
  <si>
    <t>&lt;00/01/1900</t>
  </si>
  <si>
    <t>10</t>
  </si>
  <si>
    <t>Heures (Heure de fin)</t>
  </si>
  <si>
    <t>13</t>
  </si>
  <si>
    <t>15</t>
  </si>
  <si>
    <t>17</t>
  </si>
  <si>
    <t>Doublon</t>
  </si>
  <si>
    <t/>
  </si>
  <si>
    <t>Etudiants</t>
  </si>
  <si>
    <t>Aurais validé</t>
  </si>
  <si>
    <t>Ne valide pas</t>
  </si>
  <si>
    <t>Etudiant</t>
  </si>
  <si>
    <t>Mention</t>
  </si>
  <si>
    <t>Status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</si>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</sst>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8"/>
      <name val="Calibri"/>
    </font>
    <font>
      <sz val="11"/>
      <color rgb="FF9C5700"/>
      <name val="Calibri"/>
      <family val="2"/>
      <scheme val="minor"/>
    </font>
    <font>
      <sz val="8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4152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DFF0D8"/>
        <bgColor rgb="FF000000"/>
      </patternFill>
    </fill>
  </fills>
  <borders count="1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3" fillId="0" borderId="0"/>
  </cellStyleXfs>
  <cellXfs count="41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4" fontId="3" fillId="0" borderId="0" xfId="0" applyNumberFormat="1" applyFont="1"/>
    <xf numFmtId="20" fontId="3" fillId="0" borderId="0" xfId="0" applyNumberFormat="1" applyFont="1"/>
    <xf numFmtId="0" fontId="0" fillId="3" borderId="0" xfId="0" applyFill="1"/>
    <xf numFmtId="14" fontId="3" fillId="3" borderId="0" xfId="0" applyNumberFormat="1" applyFont="1" applyFill="1"/>
    <xf numFmtId="20" fontId="3" fillId="3" borderId="0" xfId="0" applyNumberFormat="1" applyFont="1" applyFill="1"/>
    <xf numFmtId="0" fontId="3" fillId="3" borderId="0" xfId="0" applyFont="1" applyFill="1"/>
    <xf numFmtId="0" fontId="0" fillId="4" borderId="0" xfId="0" applyFill="1"/>
    <xf numFmtId="14" fontId="3" fillId="4" borderId="0" xfId="0" applyNumberFormat="1" applyFont="1" applyFill="1"/>
    <xf numFmtId="20" fontId="3" fillId="4" borderId="0" xfId="0" applyNumberFormat="1" applyFont="1" applyFill="1"/>
    <xf numFmtId="0" fontId="3" fillId="4" borderId="0" xfId="0" applyFont="1" applyFill="1"/>
    <xf numFmtId="0" fontId="0" fillId="5" borderId="0" xfId="0" applyFill="1"/>
    <xf numFmtId="14" fontId="3" fillId="5" borderId="0" xfId="0" applyNumberFormat="1" applyFont="1" applyFill="1"/>
    <xf numFmtId="20" fontId="3" fillId="5" borderId="0" xfId="0" applyNumberFormat="1" applyFont="1" applyFill="1"/>
    <xf numFmtId="0" fontId="3" fillId="5" borderId="0" xfId="0" applyFont="1" applyFill="1"/>
    <xf numFmtId="14" fontId="0" fillId="5" borderId="0" xfId="0" applyNumberFormat="1" applyFill="1"/>
    <xf numFmtId="20" fontId="0" fillId="5" borderId="0" xfId="0" applyNumberFormat="1" applyFill="1"/>
    <xf numFmtId="49" fontId="0" fillId="0" borderId="0" xfId="1" applyNumberFormat="1" applyFont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49" fontId="6" fillId="6" borderId="0" xfId="2" applyNumberFormat="1"/>
    <xf numFmtId="0" fontId="6" fillId="6" borderId="0" xfId="2"/>
    <xf numFmtId="49" fontId="7" fillId="0" borderId="0" xfId="3" applyNumberFormat="1" applyFont="1"/>
    <xf numFmtId="0" fontId="3" fillId="7" borderId="0" xfId="4" applyFill="1" applyAlignment="1">
      <alignment vertical="center"/>
    </xf>
    <xf numFmtId="0" fontId="1" fillId="0" borderId="0" xfId="3"/>
  </cellXfs>
  <cellStyles count="5">
    <cellStyle name="Neutre" xfId="2" builtinId="28"/>
    <cellStyle name="Normal" xfId="0" builtinId="0"/>
    <cellStyle name="Normal 2" xfId="3" xr:uid="{A4A92A9A-2ED7-4E63-89E5-47C9A5E7EC85}"/>
    <cellStyle name="Normal 2 2" xfId="4" xr:uid="{C1F4A0AF-6C91-421B-ABF7-D626B931512E}"/>
    <cellStyle name="Pourcentag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vé hoareau" refreshedDate="46079.517916435187" createdVersion="8" refreshedVersion="8" minRefreshableVersion="3" recordCount="1338" xr:uid="{05FAA11C-869F-42C6-85FE-2C6A8585CA5D}">
  <cacheSource type="worksheet">
    <worksheetSource ref="B1:L1048576" sheet="003481"/>
  </cacheSource>
  <cacheFields count="13">
    <cacheField name="Date" numFmtId="0">
      <sharedItems containsNonDate="0" containsString="0" containsBlank="1"/>
    </cacheField>
    <cacheField name="Date2" numFmtId="0">
      <sharedItems containsDate="1" containsBlank="1" containsMixedTypes="1" minDate="2025-09-08T00:00:00" maxDate="2025-09-10T00:00:00"/>
    </cacheField>
    <cacheField name="Heure de début" numFmtId="0">
      <sharedItems containsNonDate="0" containsDate="1" containsString="0" containsBlank="1" minDate="1899-12-30T09:00:00" maxDate="1899-12-30T16:00:00" count="8">
        <d v="1899-12-30T09:30:00"/>
        <d v="1899-12-30T14:00:00"/>
        <d v="1899-12-30T11:30:00"/>
        <d v="1899-12-30T09:00:00"/>
        <d v="1899-12-30T16:00:00"/>
        <d v="1899-12-30T12:00:00"/>
        <m/>
        <d v="1899-12-30T10:30:00" u="1"/>
      </sharedItems>
      <fieldGroup par="11"/>
    </cacheField>
    <cacheField name="Heure de fin" numFmtId="0">
      <sharedItems containsNonDate="0" containsDate="1" containsString="0" containsBlank="1" minDate="1899-12-30T10:30:00" maxDate="1899-12-30T17:30:00" count="7">
        <d v="1899-12-30T11:30:00"/>
        <d v="1899-12-30T15:30:00"/>
        <d v="1899-12-30T13:00:00"/>
        <d v="1899-12-30T10:30:00"/>
        <d v="1899-12-30T17:30:00"/>
        <m/>
        <d v="1899-12-30T11:00:00" u="1"/>
      </sharedItems>
      <fieldGroup par="12"/>
    </cacheField>
    <cacheField name="Type d'émargement" numFmtId="0">
      <sharedItems containsBlank="1"/>
    </cacheField>
    <cacheField name="Statut de l'émargement" numFmtId="0">
      <sharedItems containsBlank="1"/>
    </cacheField>
    <cacheField name="Étudiant" numFmtId="0">
      <sharedItems containsBlank="1" count="260">
        <s v="plagondjondenguinot"/>
        <s v="taguerre"/>
        <s v="yamano"/>
        <s v="vamirtahmasseb"/>
        <s v="nsmangloma"/>
        <s v="mangot"/>
        <s v="sarchimbaudadad"/>
        <s v="mathanebest"/>
        <s v="taubry1"/>
        <s v="gbaltardive"/>
        <s v="jbarretfontealba"/>
        <s v="jbbatoge"/>
        <s v="lbelon"/>
        <s v="aberson"/>
        <s v="mbianchi"/>
        <s v="abich"/>
        <s v="lbischoff1"/>
        <s v="mblouet"/>
        <s v="abomont"/>
        <s v="dbondetdelabernardie"/>
        <s v="lbressoux"/>
        <s v="cbrunet"/>
        <s v="dcanadagutierrez"/>
        <s v="fcantau"/>
        <s v="acarde"/>
        <s v="ecaron"/>
        <s v="fcasatilewandowski"/>
        <s v="jce"/>
        <s v="jcharles2"/>
        <s v="vchauvet"/>
        <s v="lchavanon"/>
        <s v="dchoisi"/>
        <s v="achristophe1"/>
        <s v="scohen"/>
        <s v="rcohenakenine"/>
        <s v="vconesa"/>
        <s v="econstable"/>
        <s v="ccoppola"/>
        <s v="fcusmir"/>
        <s v="odesousapires"/>
        <s v="adecaens"/>
        <s v="rdehors"/>
        <s v="gdelattre"/>
        <s v="adelhoume"/>
        <s v="fdeschodt"/>
        <s v="adorlandepolignac"/>
        <s v="nnadja"/>
        <s v="edoumic"/>
        <s v="jdoursout"/>
        <s v="jdu"/>
        <s v="nduboille"/>
        <s v="ladutreix"/>
        <s v="aesmaeilzadeh"/>
        <s v="vesnault"/>
        <s v="kespinasse"/>
        <s v="lexbrayat"/>
        <s v="pfaget"/>
        <s v="jfamchon"/>
        <s v="pefaye"/>
        <s v="jferrer"/>
        <s v="ggabel"/>
        <s v="vgadin"/>
        <s v="alvgalichet"/>
        <s v="rgatti"/>
        <s v="agautier"/>
        <s v="pgermanaz"/>
        <s v="zgogris"/>
        <s v="ygomi"/>
        <s v="ogonzalezbabiaud"/>
        <s v="egrandcolas"/>
        <s v="rgrevin"/>
        <s v="lvgrillo"/>
        <s v="agrizard"/>
        <s v="agross1"/>
        <s v="tguilbertselb"/>
        <s v="lguilleux"/>
        <s v="aguyduche"/>
        <s v="shamdoun"/>
        <s v="rharada"/>
        <s v="vharnois"/>
        <s v="hhernout"/>
        <s v="ehetzel"/>
        <s v="jhuang1"/>
        <s v="ahuerta"/>
        <s v="ejaumemasferrer"/>
        <s v="ajeannot"/>
        <s v="tjen"/>
        <s v="hjoly"/>
        <s v="njosselin"/>
        <s v="vdieny"/>
        <s v="rkazandjian"/>
        <s v="akerouanton"/>
        <s v="skim4"/>
        <s v="mkim"/>
        <s v="nkittel"/>
        <s v="nlancelotmahe"/>
        <s v="slaquayeudine"/>
        <s v="nlastere"/>
        <s v="dlau"/>
        <s v="mlauriac"/>
        <s v="llelayjardin"/>
        <s v="sleblanclarosa"/>
        <s v="rleblond"/>
        <s v="rleleu1"/>
        <s v="tlemaire"/>
        <s v="jblemoine"/>
        <s v="lleneman"/>
        <s v="eleroux"/>
        <s v="yli2"/>
        <s v="slim"/>
        <s v="lloube"/>
        <s v="zlyu"/>
        <s v="emamane"/>
        <s v="amansart"/>
        <s v="mmarchessaury"/>
        <s v="fmartin2"/>
        <s v="lmaudry"/>
        <s v="emeens"/>
        <s v="cmellardi"/>
        <s v="mamellies"/>
        <s v="lmessina"/>
        <s v="nmetivierragonnet"/>
        <s v="mmetzger"/>
        <s v="jmialon"/>
        <s v="smiceli"/>
        <s v="mmichel1"/>
        <s v="lminghetti"/>
        <s v="mmnatsakanyan"/>
        <s v="amoen"/>
        <s v="fmoisseron"/>
        <s v="amoreira1"/>
        <s v="nemoscardo"/>
        <s v="pmuslewski"/>
        <s v="knajerahoubiers"/>
        <s v="bnaji"/>
        <s v="mnakahira1"/>
        <s v="anantois"/>
        <s v="gnguyen"/>
        <s v="khtnguyen"/>
        <s v="rnormand-condat"/>
        <s v="nnoufel"/>
        <s v="aolech"/>
        <s v="aeorthmannreichenbach"/>
        <s v="spark"/>
        <s v="mpascal1"/>
        <s v="cpauvert"/>
        <s v="sperarnaudaramendi"/>
        <s v="jperez1"/>
        <s v="apesnel"/>
        <s v="apichard"/>
        <s v="mplassard1"/>
        <s v="jpoumes"/>
        <s v="tpouye"/>
        <s v="fprat"/>
        <s v="erall"/>
        <s v="drashdan"/>
        <s v="arauline"/>
        <s v="erebuschi"/>
        <s v="parenioult"/>
        <s v="ericard"/>
        <s v="probilliard"/>
        <s v="erodrigues"/>
        <s v="nrossinidefrancois"/>
        <s v="croszak"/>
        <s v="crouge"/>
        <s v="ssroulette"/>
        <s v="mroumegas"/>
        <s v="hjarry"/>
        <s v="croussev"/>
        <s v="nroyer"/>
        <s v="gsardier"/>
        <s v="lsardinameesemaecker"/>
        <s v="hsato"/>
        <s v="pnschena"/>
        <s v="sschuurman"/>
        <s v="msekfalibonnier"/>
        <s v="mseto"/>
        <s v="esezestre"/>
        <s v="mshcherbina"/>
        <s v="sshin"/>
        <s v="mshiozawa"/>
        <s v="dtabacaru"/>
        <s v="htaguchi"/>
        <s v="ytakasaki"/>
        <s v="jkhalifa"/>
        <s v="ctallet1"/>
        <s v="wtechin"/>
        <s v="iterekhanov"/>
        <s v="stheodas"/>
        <s v="athevenin"/>
        <s v="ctissus"/>
        <s v="atorres"/>
        <s v="mulrich"/>
        <s v="ivalem"/>
        <s v="mvalero"/>
        <s v="cvallapesendorfer"/>
        <s v="gvandenbroucque"/>
        <s v="lvandenhole"/>
        <s v="hvieuxmaire"/>
        <s v="mvignier"/>
        <s v="dwang"/>
        <s v="gwelcker"/>
        <s v="twilson"/>
        <s v="lxiao"/>
        <s v="syagi"/>
        <s v="hye"/>
        <s v="syoon"/>
        <s v="izajtmann1"/>
        <s v="ezemihi"/>
        <s v="hozenne"/>
        <s v="mplait"/>
        <s v="rcorjon"/>
        <s v="mmesplededevalicourt"/>
        <s v="mhenry2"/>
        <s v="apollier"/>
        <s v="lnolot"/>
        <s v="mfiorina"/>
        <s v="jszulcbaptista"/>
        <s v="pcwang"/>
        <s v="ggemot"/>
        <s v="mcattiaux"/>
        <s v="mribeyron"/>
        <s v="emarchal"/>
        <s v="vbaptiste"/>
        <s v="enebra"/>
        <s v="sgiordano"/>
        <s v="omakhloufi"/>
        <s v="jcasier"/>
        <s v="pcambianica"/>
        <s v="jlerheim"/>
        <s v="igasparrodrigues"/>
        <s v="nguerlavas"/>
        <s v="shennequin"/>
        <s v="mherouard"/>
        <s v="alhomme"/>
        <s v="cdelvalle"/>
        <s v="craynaudflavier"/>
        <s v="lmarinot"/>
        <s v="arajaobelina"/>
        <s v="mtaraconat"/>
        <s v="eoniangueadamo"/>
        <s v="enierigeraci"/>
        <s v="mdevalicourt"/>
        <s v="mhenry"/>
        <s v="pwang"/>
        <s v="a"/>
        <s v="ndecreus"/>
        <s v="crossi"/>
        <s v="ldelaurent"/>
        <s v="nprotois"/>
        <s v="jhuang"/>
        <m/>
        <s v="achabridon" u="1"/>
        <s v="cseveau" u="1"/>
        <s v="elegrognecnoblet" u="1"/>
        <s v="jlaborie" u="1"/>
        <s v="laperrinroussel" u="1"/>
        <s v="mdesaintleger" u="1"/>
        <s v="msuchel" u="1"/>
        <s v="tpetitjean" u="1"/>
      </sharedItems>
    </cacheField>
    <cacheField name="Étudiant - PréNom" numFmtId="0">
      <sharedItems containsBlank="1"/>
    </cacheField>
    <cacheField name="Séance" numFmtId="0">
      <sharedItems containsString="0" containsBlank="1" containsNumber="1" containsInteger="1" minValue="102753" maxValue="104959" count="8">
        <n v="104959"/>
        <n v="104551"/>
        <n v="104550"/>
        <n v="102916"/>
        <n v="104855"/>
        <n v="102753"/>
        <m/>
        <n v="104820" u="1"/>
      </sharedItems>
    </cacheField>
    <cacheField name="Étudiant - Nom" numFmtId="0">
      <sharedItems containsBlank="1" count="246">
        <s v="Agondjo Ndenguinot"/>
        <s v="Aguerre"/>
        <s v="Amano"/>
        <s v="Amir-Tahmasseb"/>
        <s v="Angloma"/>
        <s v="Angot"/>
        <s v="Archimbaud--Adad"/>
        <s v="Athané-Best"/>
        <s v="Aubry"/>
        <s v="Baltardive"/>
        <s v="Barret--Fontealba"/>
        <s v="Batogé"/>
        <s v="Belon"/>
        <s v="Berson"/>
        <s v="Bianchi"/>
        <s v="Bich"/>
        <s v="Bischoff"/>
        <s v="Blouet"/>
        <s v="Bomont"/>
        <s v="Bondet de la Bernardie"/>
        <s v="Bressoux"/>
        <s v="Brunet"/>
        <s v="Canada Gutierrez"/>
        <s v="Cantau"/>
        <s v="Carde"/>
        <s v="Caron"/>
        <s v="Casati--Lewandowski"/>
        <s v="Cé"/>
        <s v="Charles"/>
        <s v="Chauvet"/>
        <s v="Chavanon"/>
        <s v="Choisi"/>
        <s v="Christophe"/>
        <s v="Cohen"/>
        <s v="Cohen-Akenine"/>
        <s v="Conesa"/>
        <s v="Constable"/>
        <s v="Coppola"/>
        <s v="Cusmir"/>
        <s v="de Sousa Pires"/>
        <s v="Decaëns"/>
        <s v="Dehors"/>
        <s v="Delattre"/>
        <s v="Delhoume"/>
        <s v="Deschodt"/>
        <s v="d'Orlan de Polignac"/>
        <s v="Dornik"/>
        <s v="Doumic"/>
        <s v="Doursout"/>
        <s v="du"/>
        <s v="Duboille"/>
        <s v="Dutreix"/>
        <s v="Esmaeilzadeh"/>
        <s v="Esnault"/>
        <s v="Espinasse"/>
        <s v="Exbrayat"/>
        <s v="Faget"/>
        <s v="Famchon"/>
        <s v="Faye"/>
        <s v="Ferrer Moreno"/>
        <s v="Gabel"/>
        <s v="Gadin"/>
        <s v="Galichet"/>
        <s v="Gatti"/>
        <s v="Gautier"/>
        <s v="Germanaz"/>
        <s v="Gogris"/>
        <s v="Gomi"/>
        <s v="González Babiaud"/>
        <s v="Grandcolas"/>
        <s v="Grevin"/>
        <s v="Grillo"/>
        <s v="Grizard"/>
        <s v="Gross"/>
        <s v="Guilbert Selb"/>
        <s v="Guilleux"/>
        <s v="Guy-Duché"/>
        <s v="Hamdoun"/>
        <s v="Harada"/>
        <s v="Harnois"/>
        <s v="Hernout"/>
        <s v="Hetzel"/>
        <s v="Huang"/>
        <s v="Huerta"/>
        <s v="Jaume Masferrer"/>
        <s v="Jeannot"/>
        <s v="Jen"/>
        <s v="Joly"/>
        <s v="Josselin"/>
        <s v="Dieny"/>
        <s v="Kazandjian"/>
        <s v="Kerouanton"/>
        <s v="Kim"/>
        <s v="Kittel"/>
        <s v="Lancelot--Mahé"/>
        <s v="Laquay--Eudine"/>
        <s v="Lastère"/>
        <s v="Lau"/>
        <s v="Lauriac"/>
        <s v="Le Lay--Jardin"/>
        <s v="Leblanc - - La Rosa"/>
        <s v="Leblond"/>
        <s v="Leleu"/>
        <s v="Lemaire"/>
        <s v="Lemoine"/>
        <s v="Leneman"/>
        <s v="Leroux"/>
        <s v="Li"/>
        <s v="Lim"/>
        <s v="Loube"/>
        <s v="Lyu"/>
        <s v="Mamane"/>
        <s v="Mansart"/>
        <s v="Marchès--Saury"/>
        <s v="Martin"/>
        <s v="Maudry"/>
        <s v="Meens"/>
        <s v="Mellardi"/>
        <s v="Melliès"/>
        <s v="Messina"/>
        <s v="Métivier--Ragonnet"/>
        <s v="Metzger"/>
        <s v="Mialon"/>
        <s v="Miceli"/>
        <s v="Michel"/>
        <s v="Minghetti"/>
        <s v="Mnatsakanyan"/>
        <s v="Moen"/>
        <s v="Moisseron"/>
        <s v="Moreira"/>
        <s v="Moscardo"/>
        <s v="Muslewski"/>
        <s v="Najera Houbiers"/>
        <s v="Naji"/>
        <s v="Nakahira"/>
        <s v="Nantois"/>
        <s v="Nguyen"/>
        <s v="Normand-Condat"/>
        <s v="Noufel"/>
        <s v="Olech"/>
        <s v="Orthmann--Reichenbach"/>
        <s v="Park"/>
        <s v="Pascal"/>
        <s v="Pauvert"/>
        <s v="Pérarnaud Aramendi"/>
        <s v="Perez"/>
        <s v="Pesnel"/>
        <s v="Pichard"/>
        <s v="Plassard"/>
        <s v="Poumes"/>
        <s v="Pouyé"/>
        <s v="Prat"/>
        <s v="Rall"/>
        <s v="Rashdan"/>
        <s v="Rauline"/>
        <s v="Rebuschi"/>
        <s v="Renioult"/>
        <s v="Ricard"/>
        <s v="Robilliard"/>
        <s v="Rodrigues"/>
        <s v="Rossini--Defrançois"/>
        <s v="Roszak"/>
        <s v="Rouge"/>
        <s v="Roulette"/>
        <s v="Roumégas"/>
        <s v="Jarry"/>
        <s v="Roussev"/>
        <s v="Royer"/>
        <s v="Sardier"/>
        <s v="Sardina Meesemaecker"/>
        <s v="Sato"/>
        <s v="Schena"/>
        <s v="Schuurman"/>
        <s v="Sekfali-Bonnier"/>
        <s v="Seto"/>
        <s v="Sezestre"/>
        <s v="Shcherbina"/>
        <s v="Shin"/>
        <s v="Shiozawa"/>
        <s v="Tabacaru"/>
        <s v="Taguchi"/>
        <s v="Takasaki"/>
        <s v="Khalifa"/>
        <s v="Tallet"/>
        <s v="Te Chin"/>
        <s v="Terekhanov"/>
        <s v="Théodas"/>
        <s v="Thevenin"/>
        <s v="Tissus"/>
        <s v="Torres"/>
        <s v="Ulrich"/>
        <s v="Valem"/>
        <s v="Valero"/>
        <s v="Valla Pesendorfer"/>
        <s v="Vandenbroucque"/>
        <s v="Vandenhole"/>
        <s v="Vieuxmaire"/>
        <s v="Vignier"/>
        <s v="Wang"/>
        <s v="Welcker"/>
        <s v="Wilson"/>
        <s v="Xiao"/>
        <s v="Yagi"/>
        <s v="Ye"/>
        <s v="Yoon"/>
        <s v="Zajtmann"/>
        <s v="Zemihi"/>
        <s v="Ozenne"/>
        <s v="Plait"/>
        <s v="Corjon"/>
        <s v="Mesplède de Valicourt"/>
        <s v="Henry"/>
        <s v="Pollier"/>
        <s v="Nolot"/>
        <s v="Fiorina"/>
        <s v="Szulcbaptista"/>
        <s v="Gemot"/>
        <s v="Cattiaux"/>
        <s v="ribeyron"/>
        <s v="Marchal"/>
        <s v="Baptiste"/>
        <s v="Nebra"/>
        <s v="Giordano"/>
        <s v="Makhloufi"/>
        <s v="Casier"/>
        <s v="Cambianica"/>
        <s v="Lerheim"/>
        <s v="Gaspar Rodrigues"/>
        <s v="Guerlavas"/>
        <s v="Hennequin"/>
        <s v="Hérouard"/>
        <s v="Lhomme"/>
        <s v="Del Valle"/>
        <s v="Raynaud-Flavier"/>
        <s v="Marinot"/>
        <s v="Rajaobelina"/>
        <s v="Taraconat"/>
        <s v="Oniangue - Adamo"/>
        <s v="Nieri Geraci"/>
        <s v="De Valicourt"/>
        <m/>
        <s v="Decreus"/>
        <s v="Rossi"/>
        <s v="Delaurent"/>
        <s v="Protois"/>
        <s v="Gémot" u="1"/>
      </sharedItems>
    </cacheField>
    <cacheField name="Statut de l'étudiant" numFmtId="0">
      <sharedItems containsBlank="1" count="3">
        <s v="PRESENCE"/>
        <s v="ABSENCE"/>
        <m/>
      </sharedItems>
    </cacheField>
    <cacheField name="Heures (Heure de début)" numFmtId="0" databaseField="0">
      <fieldGroup base="2">
        <rangePr groupBy="hours" startDate="1899-12-30T09:00:00" endDate="1899-12-30T16:0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Heures (Heure de fin)" numFmtId="0" databaseField="0">
      <fieldGroup base="3">
        <rangePr groupBy="hours" startDate="1899-12-30T10:30:00" endDate="1899-12-30T17:3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m/>
    <d v="2025-09-09T00:00:00"/>
    <x v="0"/>
    <x v="0"/>
    <s v="QR Code"/>
    <s v="Émargée"/>
    <x v="0"/>
    <s v="Pierre Louis"/>
    <x v="0"/>
    <x v="0"/>
    <x v="0"/>
  </r>
  <r>
    <m/>
    <d v="2025-09-08T00:00:00"/>
    <x v="1"/>
    <x v="1"/>
    <s v="QR Code"/>
    <s v="Émargée"/>
    <x v="0"/>
    <s v="Pierre Louis"/>
    <x v="1"/>
    <x v="0"/>
    <x v="0"/>
  </r>
  <r>
    <m/>
    <d v="2025-09-08T00:00:00"/>
    <x v="2"/>
    <x v="2"/>
    <s v="QR Code"/>
    <s v="Émargée"/>
    <x v="0"/>
    <s v="Pierre Louis"/>
    <x v="2"/>
    <x v="0"/>
    <x v="0"/>
  </r>
  <r>
    <m/>
    <d v="2025-09-08T00:00:00"/>
    <x v="3"/>
    <x v="3"/>
    <s v="QR Code"/>
    <s v="Émargée"/>
    <x v="0"/>
    <s v="Pierre Louis"/>
    <x v="3"/>
    <x v="0"/>
    <x v="0"/>
  </r>
  <r>
    <m/>
    <d v="2025-09-09T00:00:00"/>
    <x v="0"/>
    <x v="0"/>
    <s v="QR Code"/>
    <s v="Émargée"/>
    <x v="1"/>
    <s v="b "/>
    <x v="0"/>
    <x v="1"/>
    <x v="0"/>
  </r>
  <r>
    <m/>
    <d v="2025-09-09T00:00:00"/>
    <x v="0"/>
    <x v="0"/>
    <s v="QR Code"/>
    <s v="Émargée"/>
    <x v="2"/>
    <s v="Yui"/>
    <x v="0"/>
    <x v="2"/>
    <x v="0"/>
  </r>
  <r>
    <m/>
    <d v="2025-09-08T00:00:00"/>
    <x v="4"/>
    <x v="4"/>
    <s v="QR Code"/>
    <s v="Émargée"/>
    <x v="1"/>
    <s v="Tristan"/>
    <x v="4"/>
    <x v="1"/>
    <x v="0"/>
  </r>
  <r>
    <m/>
    <d v="2025-09-08T00:00:00"/>
    <x v="1"/>
    <x v="1"/>
    <s v="QR Code"/>
    <s v="Émargée"/>
    <x v="1"/>
    <s v="Tristan"/>
    <x v="1"/>
    <x v="1"/>
    <x v="0"/>
  </r>
  <r>
    <m/>
    <d v="2025-09-08T00:00:00"/>
    <x v="2"/>
    <x v="2"/>
    <s v="QR Code"/>
    <s v="Émargée"/>
    <x v="1"/>
    <s v="Tristan"/>
    <x v="2"/>
    <x v="1"/>
    <x v="0"/>
  </r>
  <r>
    <m/>
    <d v="2025-09-08T00:00:00"/>
    <x v="3"/>
    <x v="3"/>
    <s v="QR Code"/>
    <s v="Émargée"/>
    <x v="1"/>
    <s v="Tristan"/>
    <x v="3"/>
    <x v="1"/>
    <x v="0"/>
  </r>
  <r>
    <m/>
    <d v="2025-09-09T00:00:00"/>
    <x v="0"/>
    <x v="0"/>
    <s v="QR Code"/>
    <s v="Émargée"/>
    <x v="3"/>
    <s v="Vincent"/>
    <x v="0"/>
    <x v="3"/>
    <x v="0"/>
  </r>
  <r>
    <m/>
    <d v="2025-09-09T00:00:00"/>
    <x v="0"/>
    <x v="0"/>
    <s v="QR Code"/>
    <s v="Émargée"/>
    <x v="4"/>
    <s v="Noam, Sofiane, Milo"/>
    <x v="0"/>
    <x v="4"/>
    <x v="1"/>
  </r>
  <r>
    <m/>
    <d v="2025-09-08T00:00:00"/>
    <x v="4"/>
    <x v="4"/>
    <s v="QR Code"/>
    <s v="Émargée"/>
    <x v="2"/>
    <s v="Yui"/>
    <x v="4"/>
    <x v="2"/>
    <x v="0"/>
  </r>
  <r>
    <m/>
    <d v="2025-09-08T00:00:00"/>
    <x v="1"/>
    <x v="1"/>
    <s v="QR Code"/>
    <s v="Émargée"/>
    <x v="2"/>
    <s v="Yui"/>
    <x v="1"/>
    <x v="2"/>
    <x v="0"/>
  </r>
  <r>
    <m/>
    <d v="2025-09-08T00:00:00"/>
    <x v="2"/>
    <x v="2"/>
    <s v="QR Code"/>
    <s v="Émargée"/>
    <x v="2"/>
    <s v="Yui"/>
    <x v="2"/>
    <x v="2"/>
    <x v="0"/>
  </r>
  <r>
    <m/>
    <d v="2025-09-08T00:00:00"/>
    <x v="3"/>
    <x v="3"/>
    <s v="QR Code"/>
    <s v="Émargée"/>
    <x v="2"/>
    <s v="Yui"/>
    <x v="3"/>
    <x v="2"/>
    <x v="0"/>
  </r>
  <r>
    <m/>
    <d v="2025-09-09T00:00:00"/>
    <x v="0"/>
    <x v="0"/>
    <s v="QR Code"/>
    <s v="Émargée"/>
    <x v="5"/>
    <s v="Mélissa"/>
    <x v="0"/>
    <x v="5"/>
    <x v="0"/>
  </r>
  <r>
    <m/>
    <d v="2025-09-09T00:00:00"/>
    <x v="0"/>
    <x v="0"/>
    <s v="QR Code"/>
    <s v="Émargée"/>
    <x v="6"/>
    <s v="Solal"/>
    <x v="0"/>
    <x v="6"/>
    <x v="0"/>
  </r>
  <r>
    <m/>
    <d v="2025-09-08T00:00:00"/>
    <x v="4"/>
    <x v="4"/>
    <s v="QR Code"/>
    <s v="Émargée"/>
    <x v="3"/>
    <s v="Vincent"/>
    <x v="4"/>
    <x v="3"/>
    <x v="0"/>
  </r>
  <r>
    <m/>
    <d v="2025-09-08T00:00:00"/>
    <x v="1"/>
    <x v="1"/>
    <s v="QR Code"/>
    <s v="Émargée"/>
    <x v="3"/>
    <s v="Vincent"/>
    <x v="1"/>
    <x v="3"/>
    <x v="0"/>
  </r>
  <r>
    <m/>
    <d v="2025-09-08T00:00:00"/>
    <x v="2"/>
    <x v="2"/>
    <s v="QR Code"/>
    <s v="Émargée"/>
    <x v="3"/>
    <s v="Vincent"/>
    <x v="2"/>
    <x v="3"/>
    <x v="0"/>
  </r>
  <r>
    <m/>
    <d v="2025-09-08T00:00:00"/>
    <x v="3"/>
    <x v="3"/>
    <s v="QR Code"/>
    <s v="Émargée"/>
    <x v="3"/>
    <s v="Vincent"/>
    <x v="3"/>
    <x v="3"/>
    <x v="0"/>
  </r>
  <r>
    <m/>
    <d v="2025-09-09T00:00:00"/>
    <x v="0"/>
    <x v="0"/>
    <s v="QR Code"/>
    <s v="Émargée"/>
    <x v="7"/>
    <s v="Madeleine"/>
    <x v="0"/>
    <x v="7"/>
    <x v="1"/>
  </r>
  <r>
    <m/>
    <d v="2025-09-09T00:00:00"/>
    <x v="0"/>
    <x v="0"/>
    <s v="QR Code"/>
    <s v="Émargée"/>
    <x v="8"/>
    <s v="Timothée"/>
    <x v="0"/>
    <x v="8"/>
    <x v="0"/>
  </r>
  <r>
    <m/>
    <d v="2025-09-08T00:00:00"/>
    <x v="4"/>
    <x v="4"/>
    <s v="QR Code"/>
    <s v="Émargée"/>
    <x v="4"/>
    <s v="Noam, Sofiane, Milo"/>
    <x v="4"/>
    <x v="4"/>
    <x v="0"/>
  </r>
  <r>
    <m/>
    <d v="2025-09-08T00:00:00"/>
    <x v="1"/>
    <x v="1"/>
    <s v="QR Code"/>
    <s v="Émargée"/>
    <x v="4"/>
    <s v="Noam, Sofiane, Milo"/>
    <x v="1"/>
    <x v="4"/>
    <x v="0"/>
  </r>
  <r>
    <m/>
    <d v="2025-09-08T00:00:00"/>
    <x v="2"/>
    <x v="2"/>
    <s v="QR Code"/>
    <s v="Émargée"/>
    <x v="4"/>
    <s v="Noam, Sofiane, Milo"/>
    <x v="2"/>
    <x v="4"/>
    <x v="0"/>
  </r>
  <r>
    <m/>
    <d v="2025-09-08T00:00:00"/>
    <x v="3"/>
    <x v="3"/>
    <s v="QR Code"/>
    <s v="Émargée"/>
    <x v="4"/>
    <s v="Noam, Sofiane, Milo"/>
    <x v="3"/>
    <x v="4"/>
    <x v="0"/>
  </r>
  <r>
    <m/>
    <d v="2025-09-09T00:00:00"/>
    <x v="0"/>
    <x v="0"/>
    <s v="QR Code"/>
    <s v="Émargée"/>
    <x v="9"/>
    <s v="Garance"/>
    <x v="0"/>
    <x v="9"/>
    <x v="0"/>
  </r>
  <r>
    <m/>
    <d v="2025-09-09T00:00:00"/>
    <x v="0"/>
    <x v="0"/>
    <s v="QR Code"/>
    <s v="Émargée"/>
    <x v="10"/>
    <s v="Juliette"/>
    <x v="0"/>
    <x v="10"/>
    <x v="0"/>
  </r>
  <r>
    <m/>
    <d v="2025-09-08T00:00:00"/>
    <x v="4"/>
    <x v="4"/>
    <s v="QR Code"/>
    <s v="Émargée"/>
    <x v="5"/>
    <s v="Mélissa"/>
    <x v="4"/>
    <x v="5"/>
    <x v="0"/>
  </r>
  <r>
    <m/>
    <d v="2025-09-08T00:00:00"/>
    <x v="1"/>
    <x v="1"/>
    <s v="QR Code"/>
    <s v="Émargée"/>
    <x v="5"/>
    <s v="Mélissa"/>
    <x v="1"/>
    <x v="5"/>
    <x v="0"/>
  </r>
  <r>
    <m/>
    <d v="2025-09-08T00:00:00"/>
    <x v="2"/>
    <x v="2"/>
    <s v="QR Code"/>
    <s v="Émargée"/>
    <x v="5"/>
    <s v="Mélissa"/>
    <x v="2"/>
    <x v="5"/>
    <x v="0"/>
  </r>
  <r>
    <m/>
    <d v="2025-09-08T00:00:00"/>
    <x v="3"/>
    <x v="3"/>
    <s v="QR Code"/>
    <s v="Émargée"/>
    <x v="5"/>
    <s v="Mélissa"/>
    <x v="3"/>
    <x v="5"/>
    <x v="0"/>
  </r>
  <r>
    <m/>
    <d v="2025-09-09T00:00:00"/>
    <x v="0"/>
    <x v="0"/>
    <s v="QR Code"/>
    <s v="Émargée"/>
    <x v="11"/>
    <s v="Jean-Baptiste"/>
    <x v="0"/>
    <x v="11"/>
    <x v="0"/>
  </r>
  <r>
    <m/>
    <d v="2025-09-09T00:00:00"/>
    <x v="0"/>
    <x v="0"/>
    <s v="QR Code"/>
    <s v="Émargée"/>
    <x v="12"/>
    <s v="Lucas"/>
    <x v="0"/>
    <x v="12"/>
    <x v="0"/>
  </r>
  <r>
    <m/>
    <d v="2025-09-08T00:00:00"/>
    <x v="4"/>
    <x v="4"/>
    <s v="QR Code"/>
    <s v="Émargée"/>
    <x v="6"/>
    <s v="Solal"/>
    <x v="4"/>
    <x v="6"/>
    <x v="0"/>
  </r>
  <r>
    <m/>
    <d v="2025-09-08T00:00:00"/>
    <x v="1"/>
    <x v="1"/>
    <s v="QR Code"/>
    <s v="Émargée"/>
    <x v="6"/>
    <s v="Solal"/>
    <x v="1"/>
    <x v="6"/>
    <x v="0"/>
  </r>
  <r>
    <m/>
    <d v="2025-09-08T00:00:00"/>
    <x v="2"/>
    <x v="2"/>
    <s v="QR Code"/>
    <s v="Émargée"/>
    <x v="6"/>
    <s v="Solal"/>
    <x v="2"/>
    <x v="6"/>
    <x v="0"/>
  </r>
  <r>
    <m/>
    <d v="2025-09-08T00:00:00"/>
    <x v="3"/>
    <x v="3"/>
    <s v="QR Code"/>
    <s v="Émargée"/>
    <x v="6"/>
    <s v="Solal"/>
    <x v="3"/>
    <x v="6"/>
    <x v="0"/>
  </r>
  <r>
    <m/>
    <d v="2025-09-09T00:00:00"/>
    <x v="0"/>
    <x v="0"/>
    <s v="QR Code"/>
    <s v="Émargée"/>
    <x v="13"/>
    <s v="Antonin"/>
    <x v="0"/>
    <x v="13"/>
    <x v="0"/>
  </r>
  <r>
    <m/>
    <d v="2025-09-09T00:00:00"/>
    <x v="0"/>
    <x v="0"/>
    <s v="QR Code"/>
    <s v="Émargée"/>
    <x v="14"/>
    <s v="Manuela"/>
    <x v="0"/>
    <x v="14"/>
    <x v="0"/>
  </r>
  <r>
    <m/>
    <d v="2025-09-08T00:00:00"/>
    <x v="4"/>
    <x v="4"/>
    <s v="QR Code"/>
    <s v="Émargée"/>
    <x v="7"/>
    <s v="Madeleine"/>
    <x v="4"/>
    <x v="7"/>
    <x v="1"/>
  </r>
  <r>
    <m/>
    <d v="2025-09-08T00:00:00"/>
    <x v="1"/>
    <x v="1"/>
    <s v="QR Code"/>
    <s v="Émargée"/>
    <x v="7"/>
    <s v="Madeleine"/>
    <x v="1"/>
    <x v="7"/>
    <x v="1"/>
  </r>
  <r>
    <m/>
    <d v="2025-09-08T00:00:00"/>
    <x v="2"/>
    <x v="2"/>
    <s v="QR Code"/>
    <s v="Émargée"/>
    <x v="7"/>
    <s v="Madeleine"/>
    <x v="2"/>
    <x v="7"/>
    <x v="1"/>
  </r>
  <r>
    <m/>
    <d v="2025-09-08T00:00:00"/>
    <x v="3"/>
    <x v="3"/>
    <s v="QR Code"/>
    <s v="Émargée"/>
    <x v="7"/>
    <s v="Madeleine"/>
    <x v="3"/>
    <x v="7"/>
    <x v="0"/>
  </r>
  <r>
    <m/>
    <d v="2025-09-09T00:00:00"/>
    <x v="0"/>
    <x v="0"/>
    <s v="QR Code"/>
    <s v="Émargée"/>
    <x v="15"/>
    <s v="Alphonse"/>
    <x v="0"/>
    <x v="15"/>
    <x v="1"/>
  </r>
  <r>
    <m/>
    <d v="2025-09-09T00:00:00"/>
    <x v="0"/>
    <x v="0"/>
    <s v="QR Code"/>
    <s v="Émargée"/>
    <x v="16"/>
    <s v="Louis"/>
    <x v="0"/>
    <x v="16"/>
    <x v="0"/>
  </r>
  <r>
    <m/>
    <d v="2025-09-08T00:00:00"/>
    <x v="4"/>
    <x v="4"/>
    <s v="QR Code"/>
    <s v="Émargée"/>
    <x v="8"/>
    <s v="Timothée"/>
    <x v="4"/>
    <x v="8"/>
    <x v="0"/>
  </r>
  <r>
    <m/>
    <d v="2025-09-08T00:00:00"/>
    <x v="1"/>
    <x v="1"/>
    <s v="QR Code"/>
    <s v="Émargée"/>
    <x v="8"/>
    <s v="Timothée"/>
    <x v="1"/>
    <x v="8"/>
    <x v="0"/>
  </r>
  <r>
    <m/>
    <d v="2025-09-08T00:00:00"/>
    <x v="2"/>
    <x v="2"/>
    <s v="QR Code"/>
    <s v="Émargée"/>
    <x v="8"/>
    <s v="Timothée"/>
    <x v="2"/>
    <x v="8"/>
    <x v="0"/>
  </r>
  <r>
    <m/>
    <d v="2025-09-08T00:00:00"/>
    <x v="3"/>
    <x v="3"/>
    <s v="QR Code"/>
    <s v="Émargée"/>
    <x v="8"/>
    <s v="Timothée"/>
    <x v="3"/>
    <x v="8"/>
    <x v="0"/>
  </r>
  <r>
    <m/>
    <d v="2025-09-09T00:00:00"/>
    <x v="0"/>
    <x v="0"/>
    <s v="QR Code"/>
    <s v="Émargée"/>
    <x v="17"/>
    <s v="Martin"/>
    <x v="0"/>
    <x v="17"/>
    <x v="0"/>
  </r>
  <r>
    <m/>
    <d v="2025-09-09T00:00:00"/>
    <x v="0"/>
    <x v="0"/>
    <s v="QR Code"/>
    <s v="Émargée"/>
    <x v="18"/>
    <s v="Albert"/>
    <x v="0"/>
    <x v="18"/>
    <x v="1"/>
  </r>
  <r>
    <m/>
    <d v="2025-09-08T00:00:00"/>
    <x v="4"/>
    <x v="4"/>
    <s v="QR Code"/>
    <s v="Émargée"/>
    <x v="9"/>
    <s v="Garance"/>
    <x v="4"/>
    <x v="9"/>
    <x v="0"/>
  </r>
  <r>
    <m/>
    <d v="2025-09-08T00:00:00"/>
    <x v="1"/>
    <x v="1"/>
    <s v="QR Code"/>
    <s v="Émargée"/>
    <x v="9"/>
    <s v="Garance"/>
    <x v="1"/>
    <x v="9"/>
    <x v="0"/>
  </r>
  <r>
    <m/>
    <d v="2025-09-08T00:00:00"/>
    <x v="2"/>
    <x v="2"/>
    <s v="QR Code"/>
    <s v="Émargée"/>
    <x v="9"/>
    <s v="Garance"/>
    <x v="2"/>
    <x v="9"/>
    <x v="0"/>
  </r>
  <r>
    <m/>
    <d v="2025-09-08T00:00:00"/>
    <x v="3"/>
    <x v="3"/>
    <s v="QR Code"/>
    <s v="Émargée"/>
    <x v="9"/>
    <s v="Garance"/>
    <x v="3"/>
    <x v="9"/>
    <x v="0"/>
  </r>
  <r>
    <m/>
    <d v="2025-09-09T00:00:00"/>
    <x v="0"/>
    <x v="0"/>
    <s v="QR Code"/>
    <s v="Émargée"/>
    <x v="19"/>
    <s v="Derek"/>
    <x v="0"/>
    <x v="19"/>
    <x v="0"/>
  </r>
  <r>
    <m/>
    <d v="2025-09-09T00:00:00"/>
    <x v="0"/>
    <x v="0"/>
    <s v="QR Code"/>
    <s v="Émargée"/>
    <x v="20"/>
    <s v="Lucas"/>
    <x v="0"/>
    <x v="20"/>
    <x v="0"/>
  </r>
  <r>
    <m/>
    <d v="2025-09-08T00:00:00"/>
    <x v="4"/>
    <x v="4"/>
    <s v="QR Code"/>
    <s v="Émargée"/>
    <x v="10"/>
    <s v="Juliette"/>
    <x v="4"/>
    <x v="10"/>
    <x v="0"/>
  </r>
  <r>
    <m/>
    <d v="2025-09-08T00:00:00"/>
    <x v="1"/>
    <x v="1"/>
    <s v="QR Code"/>
    <s v="Émargée"/>
    <x v="10"/>
    <s v="Juliette"/>
    <x v="1"/>
    <x v="10"/>
    <x v="0"/>
  </r>
  <r>
    <m/>
    <d v="2025-09-08T00:00:00"/>
    <x v="2"/>
    <x v="2"/>
    <s v="QR Code"/>
    <s v="Émargée"/>
    <x v="10"/>
    <s v="Juliette"/>
    <x v="2"/>
    <x v="10"/>
    <x v="0"/>
  </r>
  <r>
    <m/>
    <d v="2025-09-08T00:00:00"/>
    <x v="3"/>
    <x v="3"/>
    <s v="QR Code"/>
    <s v="Émargée"/>
    <x v="10"/>
    <s v="Juliette"/>
    <x v="3"/>
    <x v="10"/>
    <x v="0"/>
  </r>
  <r>
    <m/>
    <d v="2025-09-09T00:00:00"/>
    <x v="0"/>
    <x v="0"/>
    <s v="QR Code"/>
    <s v="Émargée"/>
    <x v="21"/>
    <s v="Clément"/>
    <x v="0"/>
    <x v="21"/>
    <x v="0"/>
  </r>
  <r>
    <m/>
    <d v="2025-09-09T00:00:00"/>
    <x v="0"/>
    <x v="0"/>
    <s v="QR Code"/>
    <s v="Émargée"/>
    <x v="22"/>
    <s v="Diego"/>
    <x v="0"/>
    <x v="22"/>
    <x v="1"/>
  </r>
  <r>
    <m/>
    <d v="2025-09-08T00:00:00"/>
    <x v="4"/>
    <x v="4"/>
    <s v="QR Code"/>
    <s v="Émargée"/>
    <x v="11"/>
    <s v="Jean-Baptiste"/>
    <x v="4"/>
    <x v="11"/>
    <x v="0"/>
  </r>
  <r>
    <m/>
    <d v="2025-09-08T00:00:00"/>
    <x v="1"/>
    <x v="1"/>
    <s v="QR Code"/>
    <s v="Émargée"/>
    <x v="11"/>
    <s v="Jean-Baptiste"/>
    <x v="1"/>
    <x v="11"/>
    <x v="0"/>
  </r>
  <r>
    <m/>
    <d v="2025-09-08T00:00:00"/>
    <x v="2"/>
    <x v="2"/>
    <s v="QR Code"/>
    <s v="Émargée"/>
    <x v="11"/>
    <s v="Jean-Baptiste"/>
    <x v="2"/>
    <x v="11"/>
    <x v="0"/>
  </r>
  <r>
    <m/>
    <d v="2025-09-08T00:00:00"/>
    <x v="3"/>
    <x v="3"/>
    <s v="QR Code"/>
    <s v="Émargée"/>
    <x v="11"/>
    <s v="Jean-Baptiste"/>
    <x v="3"/>
    <x v="11"/>
    <x v="0"/>
  </r>
  <r>
    <m/>
    <d v="2025-09-09T00:00:00"/>
    <x v="0"/>
    <x v="0"/>
    <s v="QR Code"/>
    <s v="Émargée"/>
    <x v="23"/>
    <s v="Félix"/>
    <x v="0"/>
    <x v="23"/>
    <x v="0"/>
  </r>
  <r>
    <m/>
    <d v="2025-09-09T00:00:00"/>
    <x v="0"/>
    <x v="0"/>
    <s v="QR Code"/>
    <s v="Émargée"/>
    <x v="24"/>
    <s v="Anaïs"/>
    <x v="0"/>
    <x v="24"/>
    <x v="0"/>
  </r>
  <r>
    <m/>
    <d v="2025-09-08T00:00:00"/>
    <x v="4"/>
    <x v="4"/>
    <s v="QR Code"/>
    <s v="Émargée"/>
    <x v="12"/>
    <s v="Lucas"/>
    <x v="4"/>
    <x v="12"/>
    <x v="0"/>
  </r>
  <r>
    <m/>
    <d v="2025-09-08T00:00:00"/>
    <x v="1"/>
    <x v="1"/>
    <s v="QR Code"/>
    <s v="Émargée"/>
    <x v="12"/>
    <s v="Lucas"/>
    <x v="1"/>
    <x v="12"/>
    <x v="0"/>
  </r>
  <r>
    <m/>
    <d v="2025-09-08T00:00:00"/>
    <x v="2"/>
    <x v="2"/>
    <s v="QR Code"/>
    <s v="Émargée"/>
    <x v="12"/>
    <s v="Lucas"/>
    <x v="2"/>
    <x v="12"/>
    <x v="0"/>
  </r>
  <r>
    <m/>
    <d v="2025-09-08T00:00:00"/>
    <x v="3"/>
    <x v="3"/>
    <s v="QR Code"/>
    <s v="Émargée"/>
    <x v="12"/>
    <s v="Lucas"/>
    <x v="3"/>
    <x v="12"/>
    <x v="0"/>
  </r>
  <r>
    <m/>
    <d v="2025-09-09T00:00:00"/>
    <x v="0"/>
    <x v="0"/>
    <s v="QR Code"/>
    <s v="Émargée"/>
    <x v="25"/>
    <s v="Etienne"/>
    <x v="0"/>
    <x v="25"/>
    <x v="1"/>
  </r>
  <r>
    <m/>
    <d v="2025-09-09T00:00:00"/>
    <x v="0"/>
    <x v="0"/>
    <s v="QR Code"/>
    <s v="Émargée"/>
    <x v="26"/>
    <s v="Fanny"/>
    <x v="0"/>
    <x v="26"/>
    <x v="0"/>
  </r>
  <r>
    <m/>
    <d v="2025-09-08T00:00:00"/>
    <x v="4"/>
    <x v="4"/>
    <s v="QR Code"/>
    <s v="Émargée"/>
    <x v="13"/>
    <s v="Antonin"/>
    <x v="4"/>
    <x v="13"/>
    <x v="0"/>
  </r>
  <r>
    <m/>
    <d v="2025-09-08T00:00:00"/>
    <x v="1"/>
    <x v="1"/>
    <s v="QR Code"/>
    <s v="Émargée"/>
    <x v="13"/>
    <s v="Antonin"/>
    <x v="1"/>
    <x v="13"/>
    <x v="0"/>
  </r>
  <r>
    <m/>
    <d v="2025-09-08T00:00:00"/>
    <x v="2"/>
    <x v="2"/>
    <s v="QR Code"/>
    <s v="Émargée"/>
    <x v="13"/>
    <s v="Antonin"/>
    <x v="2"/>
    <x v="13"/>
    <x v="0"/>
  </r>
  <r>
    <m/>
    <d v="2025-09-08T00:00:00"/>
    <x v="3"/>
    <x v="3"/>
    <s v="QR Code"/>
    <s v="Émargée"/>
    <x v="13"/>
    <s v="Antonin"/>
    <x v="3"/>
    <x v="13"/>
    <x v="0"/>
  </r>
  <r>
    <m/>
    <d v="2025-09-09T00:00:00"/>
    <x v="0"/>
    <x v="0"/>
    <s v="QR Code"/>
    <s v="Émargée"/>
    <x v="27"/>
    <s v="Jean"/>
    <x v="0"/>
    <x v="27"/>
    <x v="0"/>
  </r>
  <r>
    <m/>
    <d v="2025-09-09T00:00:00"/>
    <x v="0"/>
    <x v="0"/>
    <s v="QR Code"/>
    <s v="Émargée"/>
    <x v="28"/>
    <s v="Jonas"/>
    <x v="0"/>
    <x v="28"/>
    <x v="0"/>
  </r>
  <r>
    <m/>
    <d v="2025-09-08T00:00:00"/>
    <x v="4"/>
    <x v="4"/>
    <s v="QR Code"/>
    <s v="Émargée"/>
    <x v="14"/>
    <s v="Manuela"/>
    <x v="4"/>
    <x v="14"/>
    <x v="0"/>
  </r>
  <r>
    <m/>
    <d v="2025-09-08T00:00:00"/>
    <x v="1"/>
    <x v="1"/>
    <s v="QR Code"/>
    <s v="Émargée"/>
    <x v="14"/>
    <s v="Manuela"/>
    <x v="1"/>
    <x v="14"/>
    <x v="0"/>
  </r>
  <r>
    <m/>
    <d v="2025-09-08T00:00:00"/>
    <x v="2"/>
    <x v="2"/>
    <s v="QR Code"/>
    <s v="Émargée"/>
    <x v="14"/>
    <s v="Manuela"/>
    <x v="2"/>
    <x v="14"/>
    <x v="0"/>
  </r>
  <r>
    <m/>
    <d v="2025-09-08T00:00:00"/>
    <x v="3"/>
    <x v="3"/>
    <s v="QR Code"/>
    <s v="Émargée"/>
    <x v="14"/>
    <s v="Manuela"/>
    <x v="3"/>
    <x v="14"/>
    <x v="0"/>
  </r>
  <r>
    <m/>
    <d v="2025-09-09T00:00:00"/>
    <x v="0"/>
    <x v="0"/>
    <s v="QR Code"/>
    <s v="Émargée"/>
    <x v="29"/>
    <s v="Victor"/>
    <x v="0"/>
    <x v="29"/>
    <x v="0"/>
  </r>
  <r>
    <m/>
    <d v="2025-09-09T00:00:00"/>
    <x v="0"/>
    <x v="0"/>
    <s v="QR Code"/>
    <s v="Émargée"/>
    <x v="30"/>
    <s v="Louise"/>
    <x v="0"/>
    <x v="30"/>
    <x v="1"/>
  </r>
  <r>
    <m/>
    <d v="2025-09-08T00:00:00"/>
    <x v="4"/>
    <x v="4"/>
    <s v="QR Code"/>
    <s v="Émargée"/>
    <x v="15"/>
    <s v="Alphonse"/>
    <x v="4"/>
    <x v="15"/>
    <x v="0"/>
  </r>
  <r>
    <m/>
    <d v="2025-09-08T00:00:00"/>
    <x v="1"/>
    <x v="1"/>
    <s v="QR Code"/>
    <s v="Émargée"/>
    <x v="15"/>
    <s v="Alphonse"/>
    <x v="1"/>
    <x v="15"/>
    <x v="0"/>
  </r>
  <r>
    <m/>
    <d v="2025-09-08T00:00:00"/>
    <x v="2"/>
    <x v="2"/>
    <s v="QR Code"/>
    <s v="Émargée"/>
    <x v="15"/>
    <s v="Alphonse"/>
    <x v="2"/>
    <x v="15"/>
    <x v="0"/>
  </r>
  <r>
    <m/>
    <d v="2025-09-08T00:00:00"/>
    <x v="3"/>
    <x v="3"/>
    <s v="QR Code"/>
    <s v="Émargée"/>
    <x v="15"/>
    <s v="Alphonse"/>
    <x v="3"/>
    <x v="15"/>
    <x v="0"/>
  </r>
  <r>
    <m/>
    <d v="2025-09-09T00:00:00"/>
    <x v="0"/>
    <x v="0"/>
    <s v="QR Code"/>
    <s v="Émargée"/>
    <x v="31"/>
    <s v="Dylan"/>
    <x v="0"/>
    <x v="31"/>
    <x v="0"/>
  </r>
  <r>
    <m/>
    <d v="2025-09-09T00:00:00"/>
    <x v="0"/>
    <x v="0"/>
    <s v="QR Code"/>
    <s v="Émargée"/>
    <x v="32"/>
    <s v="Antonin"/>
    <x v="0"/>
    <x v="32"/>
    <x v="0"/>
  </r>
  <r>
    <m/>
    <d v="2025-09-08T00:00:00"/>
    <x v="4"/>
    <x v="4"/>
    <s v="QR Code"/>
    <s v="Émargée"/>
    <x v="16"/>
    <s v="Louis"/>
    <x v="4"/>
    <x v="16"/>
    <x v="0"/>
  </r>
  <r>
    <m/>
    <d v="2025-09-08T00:00:00"/>
    <x v="1"/>
    <x v="1"/>
    <s v="QR Code"/>
    <s v="Émargée"/>
    <x v="16"/>
    <s v="Louis"/>
    <x v="1"/>
    <x v="16"/>
    <x v="0"/>
  </r>
  <r>
    <m/>
    <d v="2025-09-08T00:00:00"/>
    <x v="2"/>
    <x v="2"/>
    <s v="QR Code"/>
    <s v="Émargée"/>
    <x v="16"/>
    <s v="Louis"/>
    <x v="2"/>
    <x v="16"/>
    <x v="0"/>
  </r>
  <r>
    <m/>
    <d v="2025-09-08T00:00:00"/>
    <x v="3"/>
    <x v="3"/>
    <s v="QR Code"/>
    <s v="Émargée"/>
    <x v="16"/>
    <s v="Louis"/>
    <x v="3"/>
    <x v="16"/>
    <x v="0"/>
  </r>
  <r>
    <m/>
    <d v="2025-09-09T00:00:00"/>
    <x v="0"/>
    <x v="0"/>
    <s v="QR Code"/>
    <s v="Émargée"/>
    <x v="33"/>
    <s v="Shaïna"/>
    <x v="0"/>
    <x v="33"/>
    <x v="0"/>
  </r>
  <r>
    <m/>
    <d v="2025-09-09T00:00:00"/>
    <x v="0"/>
    <x v="0"/>
    <s v="QR Code"/>
    <s v="Émargée"/>
    <x v="34"/>
    <s v="Raphaël"/>
    <x v="0"/>
    <x v="34"/>
    <x v="0"/>
  </r>
  <r>
    <m/>
    <d v="2025-09-08T00:00:00"/>
    <x v="4"/>
    <x v="4"/>
    <s v="QR Code"/>
    <s v="Émargée"/>
    <x v="17"/>
    <s v="Martin"/>
    <x v="4"/>
    <x v="17"/>
    <x v="0"/>
  </r>
  <r>
    <m/>
    <d v="2025-09-08T00:00:00"/>
    <x v="1"/>
    <x v="1"/>
    <s v="QR Code"/>
    <s v="Émargée"/>
    <x v="17"/>
    <s v="Martin"/>
    <x v="1"/>
    <x v="17"/>
    <x v="0"/>
  </r>
  <r>
    <m/>
    <d v="2025-09-08T00:00:00"/>
    <x v="2"/>
    <x v="2"/>
    <s v="QR Code"/>
    <s v="Émargée"/>
    <x v="17"/>
    <s v="Martin"/>
    <x v="2"/>
    <x v="17"/>
    <x v="0"/>
  </r>
  <r>
    <m/>
    <d v="2025-09-08T00:00:00"/>
    <x v="3"/>
    <x v="3"/>
    <s v="QR Code"/>
    <s v="Émargée"/>
    <x v="17"/>
    <s v="Martin"/>
    <x v="3"/>
    <x v="17"/>
    <x v="0"/>
  </r>
  <r>
    <m/>
    <d v="2025-09-09T00:00:00"/>
    <x v="0"/>
    <x v="0"/>
    <s v="QR Code"/>
    <s v="Émargée"/>
    <x v="35"/>
    <s v="Virgile"/>
    <x v="0"/>
    <x v="35"/>
    <x v="0"/>
  </r>
  <r>
    <m/>
    <d v="2025-09-09T00:00:00"/>
    <x v="0"/>
    <x v="0"/>
    <s v="QR Code"/>
    <s v="Émargée"/>
    <x v="36"/>
    <s v="Elisa"/>
    <x v="0"/>
    <x v="36"/>
    <x v="1"/>
  </r>
  <r>
    <m/>
    <d v="2025-09-08T00:00:00"/>
    <x v="4"/>
    <x v="4"/>
    <s v="QR Code"/>
    <s v="Émargée"/>
    <x v="18"/>
    <s v="Albert"/>
    <x v="4"/>
    <x v="18"/>
    <x v="1"/>
  </r>
  <r>
    <m/>
    <d v="2025-09-08T00:00:00"/>
    <x v="1"/>
    <x v="1"/>
    <s v="QR Code"/>
    <s v="Émargée"/>
    <x v="18"/>
    <s v="Albert"/>
    <x v="1"/>
    <x v="18"/>
    <x v="1"/>
  </r>
  <r>
    <m/>
    <d v="2025-09-08T00:00:00"/>
    <x v="2"/>
    <x v="2"/>
    <s v="QR Code"/>
    <s v="Émargée"/>
    <x v="18"/>
    <s v="Albert"/>
    <x v="2"/>
    <x v="18"/>
    <x v="1"/>
  </r>
  <r>
    <m/>
    <d v="2025-09-08T00:00:00"/>
    <x v="3"/>
    <x v="3"/>
    <s v="QR Code"/>
    <s v="Émargée"/>
    <x v="18"/>
    <s v="Albert"/>
    <x v="3"/>
    <x v="18"/>
    <x v="1"/>
  </r>
  <r>
    <m/>
    <d v="2025-09-09T00:00:00"/>
    <x v="0"/>
    <x v="0"/>
    <s v="QR Code"/>
    <s v="Émargée"/>
    <x v="37"/>
    <s v="Christiana"/>
    <x v="0"/>
    <x v="37"/>
    <x v="0"/>
  </r>
  <r>
    <m/>
    <d v="2025-09-09T00:00:00"/>
    <x v="0"/>
    <x v="0"/>
    <s v="QR Code"/>
    <s v="Émargée"/>
    <x v="38"/>
    <s v="Filip"/>
    <x v="0"/>
    <x v="38"/>
    <x v="0"/>
  </r>
  <r>
    <m/>
    <d v="2025-09-08T00:00:00"/>
    <x v="4"/>
    <x v="4"/>
    <s v="QR Code"/>
    <s v="Émargée"/>
    <x v="19"/>
    <s v="Derek"/>
    <x v="4"/>
    <x v="19"/>
    <x v="0"/>
  </r>
  <r>
    <m/>
    <d v="2025-09-08T00:00:00"/>
    <x v="1"/>
    <x v="1"/>
    <s v="QR Code"/>
    <s v="Émargée"/>
    <x v="19"/>
    <s v="Derek"/>
    <x v="1"/>
    <x v="19"/>
    <x v="0"/>
  </r>
  <r>
    <m/>
    <d v="2025-09-08T00:00:00"/>
    <x v="2"/>
    <x v="2"/>
    <s v="QR Code"/>
    <s v="Émargée"/>
    <x v="19"/>
    <s v="Derek"/>
    <x v="2"/>
    <x v="19"/>
    <x v="0"/>
  </r>
  <r>
    <m/>
    <d v="2025-09-08T00:00:00"/>
    <x v="3"/>
    <x v="3"/>
    <s v="QR Code"/>
    <s v="Émargée"/>
    <x v="19"/>
    <s v="Derek"/>
    <x v="3"/>
    <x v="19"/>
    <x v="0"/>
  </r>
  <r>
    <m/>
    <d v="2025-09-09T00:00:00"/>
    <x v="0"/>
    <x v="0"/>
    <s v="QR Code"/>
    <s v="Émargée"/>
    <x v="39"/>
    <s v="Oihan"/>
    <x v="0"/>
    <x v="39"/>
    <x v="0"/>
  </r>
  <r>
    <m/>
    <d v="2025-09-09T00:00:00"/>
    <x v="0"/>
    <x v="0"/>
    <s v="QR Code"/>
    <s v="Émargée"/>
    <x v="40"/>
    <s v="Aloïs"/>
    <x v="0"/>
    <x v="40"/>
    <x v="0"/>
  </r>
  <r>
    <m/>
    <d v="2025-09-08T00:00:00"/>
    <x v="4"/>
    <x v="4"/>
    <s v="QR Code"/>
    <s v="Émargée"/>
    <x v="20"/>
    <s v="Lucas"/>
    <x v="4"/>
    <x v="20"/>
    <x v="0"/>
  </r>
  <r>
    <m/>
    <d v="2025-09-08T00:00:00"/>
    <x v="1"/>
    <x v="1"/>
    <s v="QR Code"/>
    <s v="Émargée"/>
    <x v="20"/>
    <s v="Lucas"/>
    <x v="1"/>
    <x v="20"/>
    <x v="0"/>
  </r>
  <r>
    <m/>
    <d v="2025-09-08T00:00:00"/>
    <x v="2"/>
    <x v="2"/>
    <s v="QR Code"/>
    <s v="Émargée"/>
    <x v="20"/>
    <s v="Lucas"/>
    <x v="2"/>
    <x v="20"/>
    <x v="0"/>
  </r>
  <r>
    <m/>
    <d v="2025-09-08T00:00:00"/>
    <x v="3"/>
    <x v="3"/>
    <s v="QR Code"/>
    <s v="Émargée"/>
    <x v="20"/>
    <s v="Lucas"/>
    <x v="3"/>
    <x v="20"/>
    <x v="0"/>
  </r>
  <r>
    <m/>
    <d v="2025-09-09T00:00:00"/>
    <x v="0"/>
    <x v="0"/>
    <s v="QR Code"/>
    <s v="Émargée"/>
    <x v="41"/>
    <s v="Rose"/>
    <x v="0"/>
    <x v="41"/>
    <x v="1"/>
  </r>
  <r>
    <m/>
    <d v="2025-09-09T00:00:00"/>
    <x v="0"/>
    <x v="0"/>
    <s v="QR Code"/>
    <s v="Émargée"/>
    <x v="42"/>
    <s v="Guillaume"/>
    <x v="0"/>
    <x v="42"/>
    <x v="0"/>
  </r>
  <r>
    <m/>
    <d v="2025-09-08T00:00:00"/>
    <x v="4"/>
    <x v="4"/>
    <s v="QR Code"/>
    <s v="Émargée"/>
    <x v="21"/>
    <s v="Clément"/>
    <x v="4"/>
    <x v="21"/>
    <x v="0"/>
  </r>
  <r>
    <m/>
    <d v="2025-09-08T00:00:00"/>
    <x v="1"/>
    <x v="1"/>
    <s v="QR Code"/>
    <s v="Émargée"/>
    <x v="21"/>
    <s v="Clément"/>
    <x v="1"/>
    <x v="21"/>
    <x v="0"/>
  </r>
  <r>
    <m/>
    <d v="2025-09-08T00:00:00"/>
    <x v="2"/>
    <x v="2"/>
    <s v="QR Code"/>
    <s v="Émargée"/>
    <x v="21"/>
    <s v="Clément"/>
    <x v="2"/>
    <x v="21"/>
    <x v="0"/>
  </r>
  <r>
    <m/>
    <d v="2025-09-08T00:00:00"/>
    <x v="3"/>
    <x v="3"/>
    <s v="QR Code"/>
    <s v="Émargée"/>
    <x v="21"/>
    <s v="Clément"/>
    <x v="3"/>
    <x v="21"/>
    <x v="0"/>
  </r>
  <r>
    <m/>
    <d v="2025-09-09T00:00:00"/>
    <x v="0"/>
    <x v="0"/>
    <s v="QR Code"/>
    <s v="Émargée"/>
    <x v="43"/>
    <s v="Antoine"/>
    <x v="0"/>
    <x v="43"/>
    <x v="0"/>
  </r>
  <r>
    <m/>
    <d v="2025-09-09T00:00:00"/>
    <x v="0"/>
    <x v="0"/>
    <s v="QR Code"/>
    <s v="Émargée"/>
    <x v="44"/>
    <s v="Florian"/>
    <x v="0"/>
    <x v="44"/>
    <x v="1"/>
  </r>
  <r>
    <m/>
    <d v="2025-09-08T00:00:00"/>
    <x v="1"/>
    <x v="1"/>
    <s v="QR Code"/>
    <s v="Émargée"/>
    <x v="22"/>
    <s v="Diego"/>
    <x v="1"/>
    <x v="22"/>
    <x v="1"/>
  </r>
  <r>
    <m/>
    <d v="2025-09-08T00:00:00"/>
    <x v="2"/>
    <x v="2"/>
    <s v="QR Code"/>
    <s v="Émargée"/>
    <x v="22"/>
    <s v="Diego"/>
    <x v="2"/>
    <x v="22"/>
    <x v="1"/>
  </r>
  <r>
    <m/>
    <d v="2025-09-08T00:00:00"/>
    <x v="3"/>
    <x v="3"/>
    <s v="QR Code"/>
    <s v="Émargée"/>
    <x v="22"/>
    <s v="Diego"/>
    <x v="3"/>
    <x v="22"/>
    <x v="1"/>
  </r>
  <r>
    <m/>
    <d v="2025-09-09T00:00:00"/>
    <x v="0"/>
    <x v="0"/>
    <s v="QR Code"/>
    <s v="Émargée"/>
    <x v="45"/>
    <s v="Allan"/>
    <x v="0"/>
    <x v="45"/>
    <x v="0"/>
  </r>
  <r>
    <m/>
    <d v="2025-09-08T00:00:00"/>
    <x v="4"/>
    <x v="4"/>
    <s v="QR Code"/>
    <s v="Émargée"/>
    <x v="23"/>
    <s v="Félix"/>
    <x v="4"/>
    <x v="23"/>
    <x v="0"/>
  </r>
  <r>
    <m/>
    <d v="2025-09-08T00:00:00"/>
    <x v="1"/>
    <x v="1"/>
    <s v="QR Code"/>
    <s v="Émargée"/>
    <x v="23"/>
    <s v="Félix"/>
    <x v="1"/>
    <x v="23"/>
    <x v="0"/>
  </r>
  <r>
    <m/>
    <d v="2025-09-08T00:00:00"/>
    <x v="2"/>
    <x v="2"/>
    <s v="QR Code"/>
    <s v="Émargée"/>
    <x v="23"/>
    <s v="Félix"/>
    <x v="2"/>
    <x v="23"/>
    <x v="0"/>
  </r>
  <r>
    <m/>
    <d v="2025-09-08T00:00:00"/>
    <x v="3"/>
    <x v="3"/>
    <s v="QR Code"/>
    <s v="Émargée"/>
    <x v="23"/>
    <s v="Félix"/>
    <x v="3"/>
    <x v="23"/>
    <x v="0"/>
  </r>
  <r>
    <m/>
    <d v="2025-09-09T00:00:00"/>
    <x v="0"/>
    <x v="0"/>
    <s v="QR Code"/>
    <s v="Émargée"/>
    <x v="46"/>
    <s v="Nadja"/>
    <x v="0"/>
    <x v="46"/>
    <x v="1"/>
  </r>
  <r>
    <m/>
    <d v="2025-09-09T00:00:00"/>
    <x v="0"/>
    <x v="0"/>
    <s v="QR Code"/>
    <s v="Émargée"/>
    <x v="47"/>
    <s v="Elisabeth"/>
    <x v="0"/>
    <x v="47"/>
    <x v="1"/>
  </r>
  <r>
    <m/>
    <d v="2025-09-08T00:00:00"/>
    <x v="4"/>
    <x v="4"/>
    <s v="QR Code"/>
    <s v="Émargée"/>
    <x v="24"/>
    <s v="Anaïs"/>
    <x v="4"/>
    <x v="24"/>
    <x v="0"/>
  </r>
  <r>
    <m/>
    <d v="2025-09-08T00:00:00"/>
    <x v="1"/>
    <x v="1"/>
    <s v="QR Code"/>
    <s v="Émargée"/>
    <x v="24"/>
    <s v="Anaïs"/>
    <x v="1"/>
    <x v="24"/>
    <x v="0"/>
  </r>
  <r>
    <m/>
    <d v="2025-09-08T00:00:00"/>
    <x v="2"/>
    <x v="2"/>
    <s v="QR Code"/>
    <s v="Émargée"/>
    <x v="24"/>
    <s v="Anaïs"/>
    <x v="2"/>
    <x v="24"/>
    <x v="0"/>
  </r>
  <r>
    <m/>
    <d v="2025-09-08T00:00:00"/>
    <x v="3"/>
    <x v="3"/>
    <s v="QR Code"/>
    <s v="Émargée"/>
    <x v="24"/>
    <s v="Anaïs"/>
    <x v="3"/>
    <x v="24"/>
    <x v="0"/>
  </r>
  <r>
    <m/>
    <d v="2025-09-09T00:00:00"/>
    <x v="0"/>
    <x v="0"/>
    <s v="QR Code"/>
    <s v="Émargée"/>
    <x v="48"/>
    <s v="Jules"/>
    <x v="0"/>
    <x v="48"/>
    <x v="0"/>
  </r>
  <r>
    <m/>
    <d v="2025-09-09T00:00:00"/>
    <x v="0"/>
    <x v="0"/>
    <s v="QR Code"/>
    <s v="Émargée"/>
    <x v="49"/>
    <s v="Jingrun"/>
    <x v="0"/>
    <x v="49"/>
    <x v="0"/>
  </r>
  <r>
    <m/>
    <d v="2025-09-08T00:00:00"/>
    <x v="1"/>
    <x v="1"/>
    <s v="QR Code"/>
    <s v="Émargée"/>
    <x v="25"/>
    <s v="Etienne"/>
    <x v="1"/>
    <x v="25"/>
    <x v="1"/>
  </r>
  <r>
    <m/>
    <d v="2025-09-08T00:00:00"/>
    <x v="2"/>
    <x v="2"/>
    <s v="QR Code"/>
    <s v="Émargée"/>
    <x v="25"/>
    <s v="Etienne"/>
    <x v="2"/>
    <x v="25"/>
    <x v="1"/>
  </r>
  <r>
    <m/>
    <d v="2025-09-08T00:00:00"/>
    <x v="3"/>
    <x v="3"/>
    <s v="QR Code"/>
    <s v="Émargée"/>
    <x v="25"/>
    <s v="Etienne"/>
    <x v="3"/>
    <x v="25"/>
    <x v="1"/>
  </r>
  <r>
    <m/>
    <d v="2025-09-09T00:00:00"/>
    <x v="0"/>
    <x v="0"/>
    <s v="QR Code"/>
    <s v="Émargée"/>
    <x v="50"/>
    <s v="Noam"/>
    <x v="0"/>
    <x v="50"/>
    <x v="0"/>
  </r>
  <r>
    <m/>
    <d v="2025-09-09T00:00:00"/>
    <x v="0"/>
    <x v="0"/>
    <s v="QR Code"/>
    <s v="Émargée"/>
    <x v="51"/>
    <s v="Lou Anne"/>
    <x v="0"/>
    <x v="51"/>
    <x v="1"/>
  </r>
  <r>
    <m/>
    <d v="2025-09-08T00:00:00"/>
    <x v="4"/>
    <x v="4"/>
    <s v="QR Code"/>
    <s v="Émargée"/>
    <x v="26"/>
    <s v="Fanny"/>
    <x v="4"/>
    <x v="26"/>
    <x v="0"/>
  </r>
  <r>
    <m/>
    <d v="2025-09-08T00:00:00"/>
    <x v="1"/>
    <x v="1"/>
    <s v="QR Code"/>
    <s v="Émargée"/>
    <x v="26"/>
    <s v="Fanny"/>
    <x v="1"/>
    <x v="26"/>
    <x v="0"/>
  </r>
  <r>
    <m/>
    <d v="2025-09-08T00:00:00"/>
    <x v="2"/>
    <x v="2"/>
    <s v="QR Code"/>
    <s v="Émargée"/>
    <x v="26"/>
    <s v="Fanny"/>
    <x v="2"/>
    <x v="26"/>
    <x v="0"/>
  </r>
  <r>
    <m/>
    <d v="2025-09-08T00:00:00"/>
    <x v="3"/>
    <x v="3"/>
    <s v="QR Code"/>
    <s v="Émargée"/>
    <x v="26"/>
    <s v="Fanny"/>
    <x v="3"/>
    <x v="26"/>
    <x v="0"/>
  </r>
  <r>
    <m/>
    <d v="2025-09-09T00:00:00"/>
    <x v="0"/>
    <x v="0"/>
    <s v="QR Code"/>
    <s v="Émargée"/>
    <x v="52"/>
    <s v="Aseman"/>
    <x v="0"/>
    <x v="52"/>
    <x v="0"/>
  </r>
  <r>
    <m/>
    <d v="2025-09-09T00:00:00"/>
    <x v="0"/>
    <x v="0"/>
    <s v="QR Code"/>
    <s v="Émargée"/>
    <x v="53"/>
    <s v="Violette"/>
    <x v="0"/>
    <x v="53"/>
    <x v="0"/>
  </r>
  <r>
    <m/>
    <d v="2025-09-08T00:00:00"/>
    <x v="4"/>
    <x v="4"/>
    <s v="QR Code"/>
    <s v="Émargée"/>
    <x v="27"/>
    <s v="Jean"/>
    <x v="4"/>
    <x v="27"/>
    <x v="0"/>
  </r>
  <r>
    <m/>
    <d v="2025-09-08T00:00:00"/>
    <x v="1"/>
    <x v="1"/>
    <s v="QR Code"/>
    <s v="Émargée"/>
    <x v="27"/>
    <s v="Jean"/>
    <x v="1"/>
    <x v="27"/>
    <x v="0"/>
  </r>
  <r>
    <m/>
    <d v="2025-09-08T00:00:00"/>
    <x v="2"/>
    <x v="2"/>
    <s v="QR Code"/>
    <s v="Émargée"/>
    <x v="27"/>
    <s v="Jean"/>
    <x v="2"/>
    <x v="27"/>
    <x v="0"/>
  </r>
  <r>
    <m/>
    <d v="2025-09-08T00:00:00"/>
    <x v="3"/>
    <x v="3"/>
    <s v="QR Code"/>
    <s v="Émargée"/>
    <x v="27"/>
    <s v="Jean"/>
    <x v="3"/>
    <x v="27"/>
    <x v="0"/>
  </r>
  <r>
    <m/>
    <d v="2025-09-09T00:00:00"/>
    <x v="0"/>
    <x v="0"/>
    <s v="QR Code"/>
    <s v="Émargée"/>
    <x v="54"/>
    <s v="Karl"/>
    <x v="0"/>
    <x v="54"/>
    <x v="1"/>
  </r>
  <r>
    <m/>
    <d v="2025-09-09T00:00:00"/>
    <x v="0"/>
    <x v="0"/>
    <s v="QR Code"/>
    <s v="Émargée"/>
    <x v="55"/>
    <s v="Lydie"/>
    <x v="0"/>
    <x v="55"/>
    <x v="0"/>
  </r>
  <r>
    <m/>
    <d v="2025-09-08T00:00:00"/>
    <x v="4"/>
    <x v="4"/>
    <s v="QR Code"/>
    <s v="Émargée"/>
    <x v="28"/>
    <s v="Jonas"/>
    <x v="4"/>
    <x v="28"/>
    <x v="0"/>
  </r>
  <r>
    <m/>
    <d v="2025-09-08T00:00:00"/>
    <x v="1"/>
    <x v="1"/>
    <s v="QR Code"/>
    <s v="Émargée"/>
    <x v="28"/>
    <s v="Jonas"/>
    <x v="1"/>
    <x v="28"/>
    <x v="0"/>
  </r>
  <r>
    <m/>
    <d v="2025-09-08T00:00:00"/>
    <x v="2"/>
    <x v="2"/>
    <s v="QR Code"/>
    <s v="Émargée"/>
    <x v="28"/>
    <s v="Jonas"/>
    <x v="2"/>
    <x v="28"/>
    <x v="1"/>
  </r>
  <r>
    <m/>
    <d v="2025-09-08T00:00:00"/>
    <x v="3"/>
    <x v="3"/>
    <s v="QR Code"/>
    <s v="Émargée"/>
    <x v="28"/>
    <s v="Jonas"/>
    <x v="3"/>
    <x v="28"/>
    <x v="1"/>
  </r>
  <r>
    <m/>
    <d v="2025-09-09T00:00:00"/>
    <x v="0"/>
    <x v="0"/>
    <s v="QR Code"/>
    <s v="Émargée"/>
    <x v="56"/>
    <s v="Pierre"/>
    <x v="0"/>
    <x v="56"/>
    <x v="1"/>
  </r>
  <r>
    <m/>
    <d v="2025-09-09T00:00:00"/>
    <x v="0"/>
    <x v="0"/>
    <s v="QR Code"/>
    <s v="Émargée"/>
    <x v="57"/>
    <s v="Jude"/>
    <x v="0"/>
    <x v="57"/>
    <x v="1"/>
  </r>
  <r>
    <m/>
    <d v="2025-09-08T00:00:00"/>
    <x v="4"/>
    <x v="4"/>
    <s v="QR Code"/>
    <s v="Émargée"/>
    <x v="29"/>
    <s v="Victor"/>
    <x v="4"/>
    <x v="29"/>
    <x v="1"/>
  </r>
  <r>
    <m/>
    <d v="2025-09-08T00:00:00"/>
    <x v="1"/>
    <x v="1"/>
    <s v="QR Code"/>
    <s v="Émargée"/>
    <x v="29"/>
    <s v="Victor"/>
    <x v="1"/>
    <x v="29"/>
    <x v="0"/>
  </r>
  <r>
    <m/>
    <d v="2025-09-08T00:00:00"/>
    <x v="2"/>
    <x v="2"/>
    <s v="QR Code"/>
    <s v="Émargée"/>
    <x v="29"/>
    <s v="Victor"/>
    <x v="2"/>
    <x v="29"/>
    <x v="0"/>
  </r>
  <r>
    <m/>
    <d v="2025-09-08T00:00:00"/>
    <x v="3"/>
    <x v="3"/>
    <s v="QR Code"/>
    <s v="Émargée"/>
    <x v="29"/>
    <s v="Victor"/>
    <x v="3"/>
    <x v="29"/>
    <x v="0"/>
  </r>
  <r>
    <m/>
    <d v="2025-09-09T00:00:00"/>
    <x v="0"/>
    <x v="0"/>
    <s v="QR Code"/>
    <s v="Émargée"/>
    <x v="58"/>
    <s v="Pierre-Emmanuel"/>
    <x v="0"/>
    <x v="58"/>
    <x v="1"/>
  </r>
  <r>
    <m/>
    <d v="2025-09-09T00:00:00"/>
    <x v="0"/>
    <x v="0"/>
    <s v="QR Code"/>
    <s v="Émargée"/>
    <x v="59"/>
    <s v="Jaume"/>
    <x v="0"/>
    <x v="59"/>
    <x v="1"/>
  </r>
  <r>
    <m/>
    <d v="2025-09-08T00:00:00"/>
    <x v="4"/>
    <x v="4"/>
    <s v="QR Code"/>
    <s v="Émargée"/>
    <x v="30"/>
    <s v="Louise"/>
    <x v="4"/>
    <x v="30"/>
    <x v="1"/>
  </r>
  <r>
    <m/>
    <d v="2025-09-08T00:00:00"/>
    <x v="1"/>
    <x v="1"/>
    <s v="QR Code"/>
    <s v="Émargée"/>
    <x v="30"/>
    <s v="Louise"/>
    <x v="1"/>
    <x v="30"/>
    <x v="0"/>
  </r>
  <r>
    <m/>
    <d v="2025-09-08T00:00:00"/>
    <x v="2"/>
    <x v="2"/>
    <s v="QR Code"/>
    <s v="Émargée"/>
    <x v="30"/>
    <s v="Louise"/>
    <x v="2"/>
    <x v="30"/>
    <x v="1"/>
  </r>
  <r>
    <m/>
    <d v="2025-09-08T00:00:00"/>
    <x v="3"/>
    <x v="3"/>
    <s v="QR Code"/>
    <s v="Émargée"/>
    <x v="30"/>
    <s v="Louise"/>
    <x v="3"/>
    <x v="30"/>
    <x v="1"/>
  </r>
  <r>
    <m/>
    <d v="2025-09-09T00:00:00"/>
    <x v="0"/>
    <x v="0"/>
    <s v="QR Code"/>
    <s v="Émargée"/>
    <x v="60"/>
    <s v="Garance"/>
    <x v="0"/>
    <x v="60"/>
    <x v="0"/>
  </r>
  <r>
    <m/>
    <d v="2025-09-09T00:00:00"/>
    <x v="0"/>
    <x v="0"/>
    <s v="QR Code"/>
    <s v="Émargée"/>
    <x v="61"/>
    <s v="Victor"/>
    <x v="0"/>
    <x v="61"/>
    <x v="0"/>
  </r>
  <r>
    <m/>
    <d v="2025-09-08T00:00:00"/>
    <x v="4"/>
    <x v="4"/>
    <s v="QR Code"/>
    <s v="Émargée"/>
    <x v="31"/>
    <s v="Dylan"/>
    <x v="4"/>
    <x v="31"/>
    <x v="0"/>
  </r>
  <r>
    <m/>
    <d v="2025-09-08T00:00:00"/>
    <x v="1"/>
    <x v="1"/>
    <s v="QR Code"/>
    <s v="Émargée"/>
    <x v="31"/>
    <s v="Dylan"/>
    <x v="1"/>
    <x v="31"/>
    <x v="0"/>
  </r>
  <r>
    <m/>
    <d v="2025-09-08T00:00:00"/>
    <x v="2"/>
    <x v="2"/>
    <s v="QR Code"/>
    <s v="Émargée"/>
    <x v="31"/>
    <s v="Dylan"/>
    <x v="2"/>
    <x v="31"/>
    <x v="0"/>
  </r>
  <r>
    <m/>
    <d v="2025-09-08T00:00:00"/>
    <x v="3"/>
    <x v="3"/>
    <s v="QR Code"/>
    <s v="Émargée"/>
    <x v="31"/>
    <s v="Dylan"/>
    <x v="3"/>
    <x v="31"/>
    <x v="0"/>
  </r>
  <r>
    <m/>
    <d v="2025-09-09T00:00:00"/>
    <x v="0"/>
    <x v="0"/>
    <s v="QR Code"/>
    <s v="Émargée"/>
    <x v="62"/>
    <s v="Adèle, Lili, Violette"/>
    <x v="0"/>
    <x v="62"/>
    <x v="0"/>
  </r>
  <r>
    <m/>
    <d v="2025-09-09T00:00:00"/>
    <x v="0"/>
    <x v="0"/>
    <s v="QR Code"/>
    <s v="Émargée"/>
    <x v="63"/>
    <s v="Rudy"/>
    <x v="0"/>
    <x v="63"/>
    <x v="1"/>
  </r>
  <r>
    <m/>
    <d v="2025-09-08T00:00:00"/>
    <x v="4"/>
    <x v="4"/>
    <s v="QR Code"/>
    <s v="Émargée"/>
    <x v="32"/>
    <s v="Antonin"/>
    <x v="4"/>
    <x v="32"/>
    <x v="0"/>
  </r>
  <r>
    <m/>
    <d v="2025-09-08T00:00:00"/>
    <x v="1"/>
    <x v="1"/>
    <s v="QR Code"/>
    <s v="Émargée"/>
    <x v="32"/>
    <s v="Antonin"/>
    <x v="1"/>
    <x v="32"/>
    <x v="0"/>
  </r>
  <r>
    <m/>
    <d v="2025-09-08T00:00:00"/>
    <x v="2"/>
    <x v="2"/>
    <s v="QR Code"/>
    <s v="Émargée"/>
    <x v="32"/>
    <s v="Antonin"/>
    <x v="2"/>
    <x v="32"/>
    <x v="0"/>
  </r>
  <r>
    <m/>
    <d v="2025-09-08T00:00:00"/>
    <x v="3"/>
    <x v="3"/>
    <s v="QR Code"/>
    <s v="Émargée"/>
    <x v="32"/>
    <s v="Antonin"/>
    <x v="3"/>
    <x v="32"/>
    <x v="0"/>
  </r>
  <r>
    <m/>
    <d v="2025-09-09T00:00:00"/>
    <x v="0"/>
    <x v="0"/>
    <s v="QR Code"/>
    <s v="Émargée"/>
    <x v="64"/>
    <s v="Arthur"/>
    <x v="0"/>
    <x v="64"/>
    <x v="1"/>
  </r>
  <r>
    <m/>
    <d v="2025-09-09T00:00:00"/>
    <x v="0"/>
    <x v="0"/>
    <s v="QR Code"/>
    <s v="Émargée"/>
    <x v="65"/>
    <s v="Paul"/>
    <x v="0"/>
    <x v="65"/>
    <x v="0"/>
  </r>
  <r>
    <m/>
    <d v="2025-09-08T00:00:00"/>
    <x v="4"/>
    <x v="4"/>
    <s v="QR Code"/>
    <s v="Émargée"/>
    <x v="33"/>
    <s v="Shaïna"/>
    <x v="4"/>
    <x v="33"/>
    <x v="0"/>
  </r>
  <r>
    <m/>
    <d v="2025-09-08T00:00:00"/>
    <x v="1"/>
    <x v="1"/>
    <s v="QR Code"/>
    <s v="Émargée"/>
    <x v="33"/>
    <s v="Shaïna"/>
    <x v="1"/>
    <x v="33"/>
    <x v="1"/>
  </r>
  <r>
    <m/>
    <d v="2025-09-08T00:00:00"/>
    <x v="2"/>
    <x v="2"/>
    <s v="QR Code"/>
    <s v="Émargée"/>
    <x v="33"/>
    <s v="Shaïna"/>
    <x v="2"/>
    <x v="33"/>
    <x v="0"/>
  </r>
  <r>
    <m/>
    <d v="2025-09-08T00:00:00"/>
    <x v="3"/>
    <x v="3"/>
    <s v="QR Code"/>
    <s v="Émargée"/>
    <x v="33"/>
    <s v="Shaïna"/>
    <x v="3"/>
    <x v="33"/>
    <x v="0"/>
  </r>
  <r>
    <m/>
    <d v="2025-09-09T00:00:00"/>
    <x v="0"/>
    <x v="0"/>
    <s v="QR Code"/>
    <s v="Émargée"/>
    <x v="66"/>
    <s v="Zéphyr"/>
    <x v="0"/>
    <x v="66"/>
    <x v="0"/>
  </r>
  <r>
    <m/>
    <d v="2025-09-09T00:00:00"/>
    <x v="0"/>
    <x v="0"/>
    <s v="QR Code"/>
    <s v="Émargée"/>
    <x v="67"/>
    <s v="Yuko"/>
    <x v="0"/>
    <x v="67"/>
    <x v="0"/>
  </r>
  <r>
    <m/>
    <d v="2025-09-08T00:00:00"/>
    <x v="4"/>
    <x v="4"/>
    <s v="QR Code"/>
    <s v="Émargée"/>
    <x v="34"/>
    <s v="Raphaël"/>
    <x v="4"/>
    <x v="34"/>
    <x v="0"/>
  </r>
  <r>
    <m/>
    <d v="2025-09-08T00:00:00"/>
    <x v="1"/>
    <x v="1"/>
    <s v="QR Code"/>
    <s v="Émargée"/>
    <x v="34"/>
    <s v="Raphaël"/>
    <x v="1"/>
    <x v="34"/>
    <x v="0"/>
  </r>
  <r>
    <m/>
    <d v="2025-09-08T00:00:00"/>
    <x v="2"/>
    <x v="2"/>
    <s v="QR Code"/>
    <s v="Émargée"/>
    <x v="34"/>
    <s v="Raphaël"/>
    <x v="2"/>
    <x v="34"/>
    <x v="0"/>
  </r>
  <r>
    <m/>
    <d v="2025-09-08T00:00:00"/>
    <x v="3"/>
    <x v="3"/>
    <s v="QR Code"/>
    <s v="Émargée"/>
    <x v="34"/>
    <s v="Raphaël"/>
    <x v="3"/>
    <x v="34"/>
    <x v="0"/>
  </r>
  <r>
    <m/>
    <d v="2025-09-09T00:00:00"/>
    <x v="0"/>
    <x v="0"/>
    <s v="QR Code"/>
    <s v="Émargée"/>
    <x v="68"/>
    <s v="Odile"/>
    <x v="0"/>
    <x v="68"/>
    <x v="0"/>
  </r>
  <r>
    <m/>
    <d v="2025-09-09T00:00:00"/>
    <x v="0"/>
    <x v="0"/>
    <s v="QR Code"/>
    <s v="Émargée"/>
    <x v="69"/>
    <s v="Eliane"/>
    <x v="0"/>
    <x v="69"/>
    <x v="1"/>
  </r>
  <r>
    <m/>
    <d v="2025-09-08T00:00:00"/>
    <x v="4"/>
    <x v="4"/>
    <s v="QR Code"/>
    <s v="Émargée"/>
    <x v="35"/>
    <s v="Virgile"/>
    <x v="4"/>
    <x v="35"/>
    <x v="0"/>
  </r>
  <r>
    <m/>
    <d v="2025-09-08T00:00:00"/>
    <x v="1"/>
    <x v="1"/>
    <s v="QR Code"/>
    <s v="Émargée"/>
    <x v="35"/>
    <s v="Virgile"/>
    <x v="1"/>
    <x v="35"/>
    <x v="0"/>
  </r>
  <r>
    <m/>
    <d v="2025-09-08T00:00:00"/>
    <x v="2"/>
    <x v="2"/>
    <s v="QR Code"/>
    <s v="Émargée"/>
    <x v="35"/>
    <s v="Virgile"/>
    <x v="2"/>
    <x v="35"/>
    <x v="0"/>
  </r>
  <r>
    <m/>
    <d v="2025-09-08T00:00:00"/>
    <x v="3"/>
    <x v="3"/>
    <s v="QR Code"/>
    <s v="Émargée"/>
    <x v="35"/>
    <s v="Virgile"/>
    <x v="3"/>
    <x v="35"/>
    <x v="0"/>
  </r>
  <r>
    <m/>
    <d v="2025-09-09T00:00:00"/>
    <x v="0"/>
    <x v="0"/>
    <s v="QR Code"/>
    <s v="Émargée"/>
    <x v="70"/>
    <s v="Raphaël"/>
    <x v="0"/>
    <x v="70"/>
    <x v="0"/>
  </r>
  <r>
    <m/>
    <d v="2025-09-09T00:00:00"/>
    <x v="0"/>
    <x v="0"/>
    <s v="QR Code"/>
    <s v="Émargée"/>
    <x v="71"/>
    <s v="Loris Valentino"/>
    <x v="0"/>
    <x v="71"/>
    <x v="0"/>
  </r>
  <r>
    <m/>
    <d v="2025-09-08T00:00:00"/>
    <x v="4"/>
    <x v="4"/>
    <s v="QR Code"/>
    <s v="Émargée"/>
    <x v="36"/>
    <s v="Elisa"/>
    <x v="4"/>
    <x v="36"/>
    <x v="1"/>
  </r>
  <r>
    <m/>
    <d v="2025-09-08T00:00:00"/>
    <x v="1"/>
    <x v="1"/>
    <s v="QR Code"/>
    <s v="Émargée"/>
    <x v="36"/>
    <s v="Elisa"/>
    <x v="1"/>
    <x v="36"/>
    <x v="1"/>
  </r>
  <r>
    <m/>
    <d v="2025-09-08T00:00:00"/>
    <x v="2"/>
    <x v="2"/>
    <s v="QR Code"/>
    <s v="Émargée"/>
    <x v="36"/>
    <s v="Elisa"/>
    <x v="2"/>
    <x v="36"/>
    <x v="1"/>
  </r>
  <r>
    <m/>
    <d v="2025-09-08T00:00:00"/>
    <x v="3"/>
    <x v="3"/>
    <s v="QR Code"/>
    <s v="Émargée"/>
    <x v="36"/>
    <s v="Elisa"/>
    <x v="3"/>
    <x v="36"/>
    <x v="1"/>
  </r>
  <r>
    <m/>
    <d v="2025-09-09T00:00:00"/>
    <x v="0"/>
    <x v="0"/>
    <s v="QR Code"/>
    <s v="Émargée"/>
    <x v="72"/>
    <s v="Alexis"/>
    <x v="0"/>
    <x v="72"/>
    <x v="1"/>
  </r>
  <r>
    <m/>
    <d v="2025-09-09T00:00:00"/>
    <x v="0"/>
    <x v="0"/>
    <s v="QR Code"/>
    <s v="Émargée"/>
    <x v="73"/>
    <s v="Ansel"/>
    <x v="0"/>
    <x v="73"/>
    <x v="0"/>
  </r>
  <r>
    <m/>
    <d v="2025-09-08T00:00:00"/>
    <x v="4"/>
    <x v="4"/>
    <s v="QR Code"/>
    <s v="Émargée"/>
    <x v="37"/>
    <s v="Christiana"/>
    <x v="4"/>
    <x v="37"/>
    <x v="0"/>
  </r>
  <r>
    <m/>
    <d v="2025-09-08T00:00:00"/>
    <x v="1"/>
    <x v="1"/>
    <s v="QR Code"/>
    <s v="Émargée"/>
    <x v="37"/>
    <s v="Christiana"/>
    <x v="1"/>
    <x v="37"/>
    <x v="0"/>
  </r>
  <r>
    <m/>
    <d v="2025-09-08T00:00:00"/>
    <x v="2"/>
    <x v="2"/>
    <s v="QR Code"/>
    <s v="Émargée"/>
    <x v="37"/>
    <s v="Christiana"/>
    <x v="2"/>
    <x v="37"/>
    <x v="0"/>
  </r>
  <r>
    <m/>
    <d v="2025-09-08T00:00:00"/>
    <x v="3"/>
    <x v="3"/>
    <s v="QR Code"/>
    <s v="Émargée"/>
    <x v="37"/>
    <s v="Christiana"/>
    <x v="3"/>
    <x v="37"/>
    <x v="0"/>
  </r>
  <r>
    <m/>
    <d v="2025-09-09T00:00:00"/>
    <x v="0"/>
    <x v="0"/>
    <s v="QR Code"/>
    <s v="Émargée"/>
    <x v="74"/>
    <s v="Thomas"/>
    <x v="0"/>
    <x v="74"/>
    <x v="0"/>
  </r>
  <r>
    <m/>
    <d v="2025-09-09T00:00:00"/>
    <x v="0"/>
    <x v="0"/>
    <s v="QR Code"/>
    <s v="Émargée"/>
    <x v="75"/>
    <s v="Louis"/>
    <x v="0"/>
    <x v="75"/>
    <x v="0"/>
  </r>
  <r>
    <m/>
    <d v="2025-09-08T00:00:00"/>
    <x v="4"/>
    <x v="4"/>
    <s v="QR Code"/>
    <s v="Émargée"/>
    <x v="38"/>
    <s v="Filip"/>
    <x v="4"/>
    <x v="38"/>
    <x v="0"/>
  </r>
  <r>
    <m/>
    <d v="2025-09-08T00:00:00"/>
    <x v="1"/>
    <x v="1"/>
    <s v="QR Code"/>
    <s v="Émargée"/>
    <x v="38"/>
    <s v="Filip"/>
    <x v="1"/>
    <x v="38"/>
    <x v="0"/>
  </r>
  <r>
    <m/>
    <d v="2025-09-08T00:00:00"/>
    <x v="2"/>
    <x v="2"/>
    <s v="QR Code"/>
    <s v="Émargée"/>
    <x v="38"/>
    <s v="Filip"/>
    <x v="2"/>
    <x v="38"/>
    <x v="0"/>
  </r>
  <r>
    <m/>
    <d v="2025-09-08T00:00:00"/>
    <x v="3"/>
    <x v="3"/>
    <s v="QR Code"/>
    <s v="Émargée"/>
    <x v="38"/>
    <s v="Filip"/>
    <x v="3"/>
    <x v="38"/>
    <x v="1"/>
  </r>
  <r>
    <m/>
    <d v="2025-09-09T00:00:00"/>
    <x v="0"/>
    <x v="0"/>
    <s v="QR Code"/>
    <s v="Émargée"/>
    <x v="76"/>
    <s v="Adrien"/>
    <x v="0"/>
    <x v="76"/>
    <x v="0"/>
  </r>
  <r>
    <m/>
    <d v="2025-09-09T00:00:00"/>
    <x v="0"/>
    <x v="0"/>
    <s v="QR Code"/>
    <s v="Émargée"/>
    <x v="77"/>
    <s v="Sarra"/>
    <x v="0"/>
    <x v="77"/>
    <x v="0"/>
  </r>
  <r>
    <m/>
    <d v="2025-09-08T00:00:00"/>
    <x v="4"/>
    <x v="4"/>
    <s v="QR Code"/>
    <s v="Émargée"/>
    <x v="39"/>
    <s v="Oihan"/>
    <x v="4"/>
    <x v="39"/>
    <x v="0"/>
  </r>
  <r>
    <m/>
    <d v="2025-09-08T00:00:00"/>
    <x v="1"/>
    <x v="1"/>
    <s v="QR Code"/>
    <s v="Émargée"/>
    <x v="39"/>
    <s v="Oihan"/>
    <x v="1"/>
    <x v="39"/>
    <x v="0"/>
  </r>
  <r>
    <m/>
    <d v="2025-09-08T00:00:00"/>
    <x v="2"/>
    <x v="2"/>
    <s v="QR Code"/>
    <s v="Émargée"/>
    <x v="39"/>
    <s v="Oihan"/>
    <x v="2"/>
    <x v="39"/>
    <x v="0"/>
  </r>
  <r>
    <m/>
    <d v="2025-09-08T00:00:00"/>
    <x v="3"/>
    <x v="3"/>
    <s v="QR Code"/>
    <s v="Émargée"/>
    <x v="39"/>
    <s v="Oihan"/>
    <x v="3"/>
    <x v="39"/>
    <x v="0"/>
  </r>
  <r>
    <m/>
    <d v="2025-09-09T00:00:00"/>
    <x v="0"/>
    <x v="0"/>
    <s v="QR Code"/>
    <s v="Émargée"/>
    <x v="78"/>
    <s v="Rei"/>
    <x v="0"/>
    <x v="78"/>
    <x v="0"/>
  </r>
  <r>
    <m/>
    <d v="2025-09-09T00:00:00"/>
    <x v="0"/>
    <x v="0"/>
    <s v="QR Code"/>
    <s v="Émargée"/>
    <x v="79"/>
    <s v="Victor"/>
    <x v="0"/>
    <x v="79"/>
    <x v="0"/>
  </r>
  <r>
    <m/>
    <d v="2025-09-08T00:00:00"/>
    <x v="4"/>
    <x v="4"/>
    <s v="QR Code"/>
    <s v="Émargée"/>
    <x v="40"/>
    <s v="Aloïs"/>
    <x v="4"/>
    <x v="40"/>
    <x v="0"/>
  </r>
  <r>
    <m/>
    <d v="2025-09-08T00:00:00"/>
    <x v="1"/>
    <x v="1"/>
    <s v="QR Code"/>
    <s v="Émargée"/>
    <x v="40"/>
    <s v="Aloïs"/>
    <x v="1"/>
    <x v="40"/>
    <x v="0"/>
  </r>
  <r>
    <m/>
    <d v="2025-09-08T00:00:00"/>
    <x v="2"/>
    <x v="2"/>
    <s v="QR Code"/>
    <s v="Émargée"/>
    <x v="40"/>
    <s v="Aloïs"/>
    <x v="2"/>
    <x v="40"/>
    <x v="0"/>
  </r>
  <r>
    <m/>
    <d v="2025-09-08T00:00:00"/>
    <x v="3"/>
    <x v="3"/>
    <s v="QR Code"/>
    <s v="Émargée"/>
    <x v="40"/>
    <s v="Aloïs"/>
    <x v="3"/>
    <x v="40"/>
    <x v="0"/>
  </r>
  <r>
    <m/>
    <d v="2025-09-09T00:00:00"/>
    <x v="0"/>
    <x v="0"/>
    <s v="QR Code"/>
    <s v="Émargée"/>
    <x v="80"/>
    <s v="Hugo"/>
    <x v="0"/>
    <x v="80"/>
    <x v="0"/>
  </r>
  <r>
    <m/>
    <d v="2025-09-09T00:00:00"/>
    <x v="0"/>
    <x v="0"/>
    <s v="QR Code"/>
    <s v="Émargée"/>
    <x v="81"/>
    <s v="Éléa"/>
    <x v="0"/>
    <x v="81"/>
    <x v="0"/>
  </r>
  <r>
    <m/>
    <d v="2025-09-08T00:00:00"/>
    <x v="4"/>
    <x v="4"/>
    <s v="QR Code"/>
    <s v="Émargée"/>
    <x v="41"/>
    <s v="Rose"/>
    <x v="4"/>
    <x v="41"/>
    <x v="1"/>
  </r>
  <r>
    <m/>
    <d v="2025-09-08T00:00:00"/>
    <x v="1"/>
    <x v="1"/>
    <s v="QR Code"/>
    <s v="Émargée"/>
    <x v="41"/>
    <s v="Rose"/>
    <x v="1"/>
    <x v="41"/>
    <x v="1"/>
  </r>
  <r>
    <m/>
    <d v="2025-09-08T00:00:00"/>
    <x v="2"/>
    <x v="2"/>
    <s v="QR Code"/>
    <s v="Émargée"/>
    <x v="41"/>
    <s v="Rose"/>
    <x v="2"/>
    <x v="41"/>
    <x v="1"/>
  </r>
  <r>
    <m/>
    <d v="2025-09-08T00:00:00"/>
    <x v="3"/>
    <x v="3"/>
    <s v="QR Code"/>
    <s v="Émargée"/>
    <x v="41"/>
    <s v="Rose"/>
    <x v="3"/>
    <x v="41"/>
    <x v="1"/>
  </r>
  <r>
    <m/>
    <d v="2025-09-09T00:00:00"/>
    <x v="0"/>
    <x v="0"/>
    <s v="QR Code"/>
    <s v="Émargée"/>
    <x v="82"/>
    <s v="Jiayue"/>
    <x v="0"/>
    <x v="82"/>
    <x v="1"/>
  </r>
  <r>
    <m/>
    <d v="2025-09-09T00:00:00"/>
    <x v="0"/>
    <x v="0"/>
    <s v="QR Code"/>
    <s v="Émargée"/>
    <x v="83"/>
    <s v="Alonso"/>
    <x v="0"/>
    <x v="83"/>
    <x v="0"/>
  </r>
  <r>
    <m/>
    <d v="2025-09-08T00:00:00"/>
    <x v="4"/>
    <x v="4"/>
    <s v="QR Code"/>
    <s v="Émargée"/>
    <x v="42"/>
    <s v="Guillaume"/>
    <x v="4"/>
    <x v="42"/>
    <x v="0"/>
  </r>
  <r>
    <m/>
    <d v="2025-09-08T00:00:00"/>
    <x v="1"/>
    <x v="1"/>
    <s v="QR Code"/>
    <s v="Émargée"/>
    <x v="42"/>
    <s v="Guillaume"/>
    <x v="1"/>
    <x v="42"/>
    <x v="0"/>
  </r>
  <r>
    <m/>
    <d v="2025-09-08T00:00:00"/>
    <x v="2"/>
    <x v="2"/>
    <s v="QR Code"/>
    <s v="Émargée"/>
    <x v="42"/>
    <s v="Guillaume"/>
    <x v="2"/>
    <x v="42"/>
    <x v="0"/>
  </r>
  <r>
    <m/>
    <d v="2025-09-08T00:00:00"/>
    <x v="3"/>
    <x v="3"/>
    <s v="QR Code"/>
    <s v="Émargée"/>
    <x v="42"/>
    <s v="Guillaume"/>
    <x v="3"/>
    <x v="42"/>
    <x v="0"/>
  </r>
  <r>
    <m/>
    <d v="2025-09-09T00:00:00"/>
    <x v="0"/>
    <x v="0"/>
    <s v="QR Code"/>
    <s v="Émargée"/>
    <x v="84"/>
    <s v="Enric"/>
    <x v="0"/>
    <x v="84"/>
    <x v="1"/>
  </r>
  <r>
    <m/>
    <d v="2025-09-08T00:00:00"/>
    <x v="4"/>
    <x v="4"/>
    <s v="QR Code"/>
    <s v="Émargée"/>
    <x v="43"/>
    <s v="Antoine"/>
    <x v="4"/>
    <x v="43"/>
    <x v="0"/>
  </r>
  <r>
    <m/>
    <d v="2025-09-08T00:00:00"/>
    <x v="1"/>
    <x v="1"/>
    <s v="QR Code"/>
    <s v="Émargée"/>
    <x v="43"/>
    <s v="Antoine"/>
    <x v="1"/>
    <x v="43"/>
    <x v="0"/>
  </r>
  <r>
    <m/>
    <d v="2025-09-08T00:00:00"/>
    <x v="2"/>
    <x v="2"/>
    <s v="QR Code"/>
    <s v="Émargée"/>
    <x v="43"/>
    <s v="Antoine"/>
    <x v="2"/>
    <x v="43"/>
    <x v="0"/>
  </r>
  <r>
    <m/>
    <d v="2025-09-08T00:00:00"/>
    <x v="3"/>
    <x v="3"/>
    <s v="QR Code"/>
    <s v="Émargée"/>
    <x v="43"/>
    <s v="Antoine"/>
    <x v="3"/>
    <x v="43"/>
    <x v="0"/>
  </r>
  <r>
    <m/>
    <d v="2025-09-09T00:00:00"/>
    <x v="0"/>
    <x v="0"/>
    <s v="QR Code"/>
    <s v="Émargée"/>
    <x v="85"/>
    <s v="Antoine"/>
    <x v="0"/>
    <x v="85"/>
    <x v="0"/>
  </r>
  <r>
    <m/>
    <d v="2025-09-09T00:00:00"/>
    <x v="0"/>
    <x v="0"/>
    <s v="QR Code"/>
    <s v="Émargée"/>
    <x v="86"/>
    <s v="Takashi"/>
    <x v="0"/>
    <x v="86"/>
    <x v="1"/>
  </r>
  <r>
    <m/>
    <d v="2025-09-08T00:00:00"/>
    <x v="4"/>
    <x v="4"/>
    <s v="QR Code"/>
    <s v="Émargée"/>
    <x v="44"/>
    <s v="Florian"/>
    <x v="4"/>
    <x v="44"/>
    <x v="1"/>
  </r>
  <r>
    <m/>
    <d v="2025-09-08T00:00:00"/>
    <x v="1"/>
    <x v="1"/>
    <s v="QR Code"/>
    <s v="Émargée"/>
    <x v="44"/>
    <s v="Florian"/>
    <x v="1"/>
    <x v="44"/>
    <x v="1"/>
  </r>
  <r>
    <m/>
    <d v="2025-09-08T00:00:00"/>
    <x v="2"/>
    <x v="2"/>
    <s v="QR Code"/>
    <s v="Émargée"/>
    <x v="44"/>
    <s v="Florian"/>
    <x v="2"/>
    <x v="44"/>
    <x v="1"/>
  </r>
  <r>
    <m/>
    <d v="2025-09-08T00:00:00"/>
    <x v="3"/>
    <x v="3"/>
    <s v="QR Code"/>
    <s v="Émargée"/>
    <x v="44"/>
    <s v="Florian"/>
    <x v="3"/>
    <x v="44"/>
    <x v="1"/>
  </r>
  <r>
    <m/>
    <d v="2025-09-09T00:00:00"/>
    <x v="0"/>
    <x v="0"/>
    <s v="QR Code"/>
    <s v="Émargée"/>
    <x v="87"/>
    <s v="Henry"/>
    <x v="0"/>
    <x v="87"/>
    <x v="0"/>
  </r>
  <r>
    <m/>
    <d v="2025-09-09T00:00:00"/>
    <x v="0"/>
    <x v="0"/>
    <s v="QR Code"/>
    <s v="Émargée"/>
    <x v="88"/>
    <s v="Nils"/>
    <x v="0"/>
    <x v="88"/>
    <x v="0"/>
  </r>
  <r>
    <m/>
    <d v="2025-09-08T00:00:00"/>
    <x v="1"/>
    <x v="1"/>
    <s v="QR Code"/>
    <s v="Émargée"/>
    <x v="89"/>
    <s v="Victor"/>
    <x v="1"/>
    <x v="89"/>
    <x v="0"/>
  </r>
  <r>
    <m/>
    <d v="2025-09-08T00:00:00"/>
    <x v="2"/>
    <x v="2"/>
    <s v="QR Code"/>
    <s v="Émargée"/>
    <x v="89"/>
    <s v="Victor"/>
    <x v="2"/>
    <x v="89"/>
    <x v="0"/>
  </r>
  <r>
    <m/>
    <d v="2025-09-08T00:00:00"/>
    <x v="3"/>
    <x v="3"/>
    <s v="QR Code"/>
    <s v="Émargée"/>
    <x v="89"/>
    <s v="Victor"/>
    <x v="3"/>
    <x v="89"/>
    <x v="0"/>
  </r>
  <r>
    <m/>
    <d v="2025-09-09T00:00:00"/>
    <x v="0"/>
    <x v="0"/>
    <s v="QR Code"/>
    <s v="Émargée"/>
    <x v="90"/>
    <s v="Rouben"/>
    <x v="0"/>
    <x v="90"/>
    <x v="0"/>
  </r>
  <r>
    <m/>
    <d v="2025-09-09T00:00:00"/>
    <x v="0"/>
    <x v="0"/>
    <s v="QR Code"/>
    <s v="Émargée"/>
    <x v="91"/>
    <s v="Ariane"/>
    <x v="0"/>
    <x v="91"/>
    <x v="0"/>
  </r>
  <r>
    <m/>
    <d v="2025-09-08T00:00:00"/>
    <x v="4"/>
    <x v="4"/>
    <s v="QR Code"/>
    <s v="Émargée"/>
    <x v="45"/>
    <s v="Allan"/>
    <x v="4"/>
    <x v="45"/>
    <x v="0"/>
  </r>
  <r>
    <m/>
    <d v="2025-09-08T00:00:00"/>
    <x v="1"/>
    <x v="1"/>
    <s v="QR Code"/>
    <s v="Émargée"/>
    <x v="45"/>
    <s v="Allan"/>
    <x v="1"/>
    <x v="45"/>
    <x v="0"/>
  </r>
  <r>
    <m/>
    <d v="2025-09-08T00:00:00"/>
    <x v="2"/>
    <x v="2"/>
    <s v="QR Code"/>
    <s v="Émargée"/>
    <x v="45"/>
    <s v="Allan"/>
    <x v="2"/>
    <x v="45"/>
    <x v="0"/>
  </r>
  <r>
    <m/>
    <d v="2025-09-08T00:00:00"/>
    <x v="3"/>
    <x v="3"/>
    <s v="QR Code"/>
    <s v="Émargée"/>
    <x v="45"/>
    <s v="Allan"/>
    <x v="3"/>
    <x v="45"/>
    <x v="0"/>
  </r>
  <r>
    <m/>
    <d v="2025-09-09T00:00:00"/>
    <x v="0"/>
    <x v="0"/>
    <s v="QR Code"/>
    <s v="Émargée"/>
    <x v="92"/>
    <s v="Seohyeon"/>
    <x v="0"/>
    <x v="92"/>
    <x v="1"/>
  </r>
  <r>
    <m/>
    <d v="2025-09-08T00:00:00"/>
    <x v="4"/>
    <x v="4"/>
    <s v="QR Code"/>
    <s v="Émargée"/>
    <x v="46"/>
    <s v="Nadja"/>
    <x v="4"/>
    <x v="46"/>
    <x v="1"/>
  </r>
  <r>
    <m/>
    <d v="2025-09-08T00:00:00"/>
    <x v="1"/>
    <x v="1"/>
    <s v="QR Code"/>
    <s v="Émargée"/>
    <x v="46"/>
    <s v="Nadja"/>
    <x v="1"/>
    <x v="46"/>
    <x v="1"/>
  </r>
  <r>
    <m/>
    <d v="2025-09-08T00:00:00"/>
    <x v="2"/>
    <x v="2"/>
    <s v="QR Code"/>
    <s v="Émargée"/>
    <x v="46"/>
    <s v="Nadja"/>
    <x v="2"/>
    <x v="46"/>
    <x v="1"/>
  </r>
  <r>
    <m/>
    <d v="2025-09-08T00:00:00"/>
    <x v="3"/>
    <x v="3"/>
    <s v="QR Code"/>
    <s v="Émargée"/>
    <x v="46"/>
    <s v="Nadja"/>
    <x v="3"/>
    <x v="46"/>
    <x v="1"/>
  </r>
  <r>
    <m/>
    <d v="2025-09-09T00:00:00"/>
    <x v="0"/>
    <x v="0"/>
    <s v="QR Code"/>
    <s v="Émargée"/>
    <x v="93"/>
    <s v="Minjae"/>
    <x v="0"/>
    <x v="92"/>
    <x v="0"/>
  </r>
  <r>
    <m/>
    <d v="2025-09-09T00:00:00"/>
    <x v="0"/>
    <x v="0"/>
    <s v="QR Code"/>
    <s v="Émargée"/>
    <x v="94"/>
    <s v="Nils"/>
    <x v="0"/>
    <x v="93"/>
    <x v="0"/>
  </r>
  <r>
    <m/>
    <d v="2025-09-08T00:00:00"/>
    <x v="4"/>
    <x v="4"/>
    <s v="QR Code"/>
    <s v="Émargée"/>
    <x v="47"/>
    <s v="Elisabeth"/>
    <x v="4"/>
    <x v="47"/>
    <x v="1"/>
  </r>
  <r>
    <m/>
    <d v="2025-09-08T00:00:00"/>
    <x v="1"/>
    <x v="1"/>
    <s v="QR Code"/>
    <s v="Émargée"/>
    <x v="47"/>
    <s v="Elisabeth"/>
    <x v="1"/>
    <x v="47"/>
    <x v="1"/>
  </r>
  <r>
    <m/>
    <d v="2025-09-08T00:00:00"/>
    <x v="2"/>
    <x v="2"/>
    <s v="QR Code"/>
    <s v="Émargée"/>
    <x v="47"/>
    <s v="Elisabeth"/>
    <x v="2"/>
    <x v="47"/>
    <x v="1"/>
  </r>
  <r>
    <m/>
    <d v="2025-09-08T00:00:00"/>
    <x v="3"/>
    <x v="3"/>
    <s v="QR Code"/>
    <s v="Émargée"/>
    <x v="47"/>
    <s v="Elisabeth"/>
    <x v="3"/>
    <x v="47"/>
    <x v="1"/>
  </r>
  <r>
    <m/>
    <d v="2025-09-09T00:00:00"/>
    <x v="0"/>
    <x v="0"/>
    <s v="QR Code"/>
    <s v="Émargée"/>
    <x v="95"/>
    <s v="Ninon"/>
    <x v="0"/>
    <x v="94"/>
    <x v="0"/>
  </r>
  <r>
    <m/>
    <d v="2025-09-09T00:00:00"/>
    <x v="0"/>
    <x v="0"/>
    <s v="QR Code"/>
    <s v="Émargée"/>
    <x v="96"/>
    <s v="Sacha"/>
    <x v="0"/>
    <x v="95"/>
    <x v="0"/>
  </r>
  <r>
    <m/>
    <d v="2025-09-08T00:00:00"/>
    <x v="4"/>
    <x v="4"/>
    <s v="QR Code"/>
    <s v="Émargée"/>
    <x v="48"/>
    <s v="Jules"/>
    <x v="4"/>
    <x v="48"/>
    <x v="0"/>
  </r>
  <r>
    <m/>
    <d v="2025-09-08T00:00:00"/>
    <x v="1"/>
    <x v="1"/>
    <s v="QR Code"/>
    <s v="Émargée"/>
    <x v="48"/>
    <s v="Jules"/>
    <x v="1"/>
    <x v="48"/>
    <x v="0"/>
  </r>
  <r>
    <m/>
    <d v="2025-09-08T00:00:00"/>
    <x v="2"/>
    <x v="2"/>
    <s v="QR Code"/>
    <s v="Émargée"/>
    <x v="48"/>
    <s v="Jules"/>
    <x v="2"/>
    <x v="48"/>
    <x v="0"/>
  </r>
  <r>
    <m/>
    <d v="2025-09-08T00:00:00"/>
    <x v="3"/>
    <x v="3"/>
    <s v="QR Code"/>
    <s v="Émargée"/>
    <x v="48"/>
    <s v="Jules"/>
    <x v="3"/>
    <x v="48"/>
    <x v="0"/>
  </r>
  <r>
    <m/>
    <d v="2025-09-09T00:00:00"/>
    <x v="0"/>
    <x v="0"/>
    <s v="QR Code"/>
    <s v="Émargée"/>
    <x v="97"/>
    <s v="Noémie"/>
    <x v="0"/>
    <x v="96"/>
    <x v="0"/>
  </r>
  <r>
    <m/>
    <d v="2025-09-09T00:00:00"/>
    <x v="0"/>
    <x v="0"/>
    <s v="QR Code"/>
    <s v="Émargée"/>
    <x v="98"/>
    <s v="Dimitri"/>
    <x v="0"/>
    <x v="97"/>
    <x v="1"/>
  </r>
  <r>
    <m/>
    <d v="2025-09-08T00:00:00"/>
    <x v="4"/>
    <x v="4"/>
    <s v="QR Code"/>
    <s v="Émargée"/>
    <x v="49"/>
    <s v="Jingrun"/>
    <x v="4"/>
    <x v="49"/>
    <x v="0"/>
  </r>
  <r>
    <m/>
    <d v="2025-09-08T00:00:00"/>
    <x v="1"/>
    <x v="1"/>
    <s v="QR Code"/>
    <s v="Émargée"/>
    <x v="49"/>
    <s v="Jingrun"/>
    <x v="1"/>
    <x v="49"/>
    <x v="0"/>
  </r>
  <r>
    <m/>
    <d v="2025-09-08T00:00:00"/>
    <x v="2"/>
    <x v="2"/>
    <s v="QR Code"/>
    <s v="Émargée"/>
    <x v="49"/>
    <s v="Jingrun"/>
    <x v="2"/>
    <x v="49"/>
    <x v="1"/>
  </r>
  <r>
    <m/>
    <d v="2025-09-08T00:00:00"/>
    <x v="3"/>
    <x v="3"/>
    <s v="QR Code"/>
    <s v="Émargée"/>
    <x v="49"/>
    <s v="Jingrun"/>
    <x v="3"/>
    <x v="49"/>
    <x v="0"/>
  </r>
  <r>
    <m/>
    <d v="2025-09-09T00:00:00"/>
    <x v="0"/>
    <x v="0"/>
    <s v="QR Code"/>
    <s v="Émargée"/>
    <x v="99"/>
    <s v="Maelys"/>
    <x v="0"/>
    <x v="98"/>
    <x v="0"/>
  </r>
  <r>
    <m/>
    <d v="2025-09-09T00:00:00"/>
    <x v="0"/>
    <x v="0"/>
    <s v="QR Code"/>
    <s v="Émargée"/>
    <x v="100"/>
    <s v="Louis"/>
    <x v="0"/>
    <x v="99"/>
    <x v="0"/>
  </r>
  <r>
    <m/>
    <d v="2025-09-08T00:00:00"/>
    <x v="4"/>
    <x v="4"/>
    <s v="QR Code"/>
    <s v="Émargée"/>
    <x v="50"/>
    <s v="Noam"/>
    <x v="4"/>
    <x v="50"/>
    <x v="0"/>
  </r>
  <r>
    <m/>
    <d v="2025-09-08T00:00:00"/>
    <x v="1"/>
    <x v="1"/>
    <s v="QR Code"/>
    <s v="Émargée"/>
    <x v="50"/>
    <s v="Noam"/>
    <x v="1"/>
    <x v="50"/>
    <x v="0"/>
  </r>
  <r>
    <m/>
    <d v="2025-09-08T00:00:00"/>
    <x v="2"/>
    <x v="2"/>
    <s v="QR Code"/>
    <s v="Émargée"/>
    <x v="50"/>
    <s v="Noam"/>
    <x v="2"/>
    <x v="50"/>
    <x v="0"/>
  </r>
  <r>
    <m/>
    <d v="2025-09-08T00:00:00"/>
    <x v="3"/>
    <x v="3"/>
    <s v="QR Code"/>
    <s v="Émargée"/>
    <x v="50"/>
    <s v="Noam"/>
    <x v="3"/>
    <x v="50"/>
    <x v="0"/>
  </r>
  <r>
    <m/>
    <d v="2025-09-09T00:00:00"/>
    <x v="0"/>
    <x v="0"/>
    <s v="QR Code"/>
    <s v="Émargée"/>
    <x v="101"/>
    <s v="Sarah"/>
    <x v="0"/>
    <x v="100"/>
    <x v="0"/>
  </r>
  <r>
    <m/>
    <d v="2025-09-09T00:00:00"/>
    <x v="0"/>
    <x v="0"/>
    <s v="QR Code"/>
    <s v="Émargée"/>
    <x v="102"/>
    <s v="Robin"/>
    <x v="0"/>
    <x v="101"/>
    <x v="0"/>
  </r>
  <r>
    <m/>
    <d v="2025-09-08T00:00:00"/>
    <x v="4"/>
    <x v="4"/>
    <s v="QR Code"/>
    <s v="Émargée"/>
    <x v="51"/>
    <s v="Lou Anne"/>
    <x v="4"/>
    <x v="51"/>
    <x v="1"/>
  </r>
  <r>
    <m/>
    <d v="2025-09-08T00:00:00"/>
    <x v="1"/>
    <x v="1"/>
    <s v="QR Code"/>
    <s v="Émargée"/>
    <x v="51"/>
    <s v="Lou Anne"/>
    <x v="1"/>
    <x v="51"/>
    <x v="1"/>
  </r>
  <r>
    <m/>
    <d v="2025-09-08T00:00:00"/>
    <x v="2"/>
    <x v="2"/>
    <s v="QR Code"/>
    <s v="Émargée"/>
    <x v="51"/>
    <s v="Lou Anne"/>
    <x v="2"/>
    <x v="51"/>
    <x v="1"/>
  </r>
  <r>
    <m/>
    <d v="2025-09-08T00:00:00"/>
    <x v="3"/>
    <x v="3"/>
    <s v="QR Code"/>
    <s v="Émargée"/>
    <x v="51"/>
    <s v="Lou Anne"/>
    <x v="3"/>
    <x v="51"/>
    <x v="1"/>
  </r>
  <r>
    <m/>
    <d v="2025-09-09T00:00:00"/>
    <x v="0"/>
    <x v="0"/>
    <s v="QR Code"/>
    <s v="Émargée"/>
    <x v="103"/>
    <s v="Romane"/>
    <x v="0"/>
    <x v="102"/>
    <x v="0"/>
  </r>
  <r>
    <m/>
    <d v="2025-09-09T00:00:00"/>
    <x v="0"/>
    <x v="0"/>
    <s v="QR Code"/>
    <s v="Émargée"/>
    <x v="104"/>
    <s v="Théo"/>
    <x v="0"/>
    <x v="103"/>
    <x v="0"/>
  </r>
  <r>
    <m/>
    <d v="2025-09-08T00:00:00"/>
    <x v="4"/>
    <x v="4"/>
    <s v="QR Code"/>
    <s v="Émargée"/>
    <x v="52"/>
    <s v="Aseman"/>
    <x v="4"/>
    <x v="52"/>
    <x v="0"/>
  </r>
  <r>
    <m/>
    <d v="2025-09-08T00:00:00"/>
    <x v="1"/>
    <x v="1"/>
    <s v="QR Code"/>
    <s v="Émargée"/>
    <x v="52"/>
    <s v="Aseman"/>
    <x v="1"/>
    <x v="52"/>
    <x v="0"/>
  </r>
  <r>
    <m/>
    <d v="2025-09-08T00:00:00"/>
    <x v="2"/>
    <x v="2"/>
    <s v="QR Code"/>
    <s v="Émargée"/>
    <x v="52"/>
    <s v="Aseman"/>
    <x v="2"/>
    <x v="52"/>
    <x v="0"/>
  </r>
  <r>
    <m/>
    <d v="2025-09-08T00:00:00"/>
    <x v="3"/>
    <x v="3"/>
    <s v="QR Code"/>
    <s v="Émargée"/>
    <x v="52"/>
    <s v="Aseman"/>
    <x v="3"/>
    <x v="52"/>
    <x v="0"/>
  </r>
  <r>
    <m/>
    <d v="2025-09-09T00:00:00"/>
    <x v="0"/>
    <x v="0"/>
    <s v="QR Code"/>
    <s v="Émargée"/>
    <x v="105"/>
    <s v="Jean-Baptiste"/>
    <x v="0"/>
    <x v="104"/>
    <x v="0"/>
  </r>
  <r>
    <m/>
    <d v="2025-09-09T00:00:00"/>
    <x v="0"/>
    <x v="0"/>
    <s v="QR Code"/>
    <s v="Émargée"/>
    <x v="106"/>
    <s v="Lior"/>
    <x v="0"/>
    <x v="105"/>
    <x v="0"/>
  </r>
  <r>
    <m/>
    <d v="2025-09-08T00:00:00"/>
    <x v="4"/>
    <x v="4"/>
    <s v="QR Code"/>
    <s v="Émargée"/>
    <x v="53"/>
    <s v="Violette"/>
    <x v="4"/>
    <x v="53"/>
    <x v="1"/>
  </r>
  <r>
    <m/>
    <d v="2025-09-08T00:00:00"/>
    <x v="1"/>
    <x v="1"/>
    <s v="QR Code"/>
    <s v="Émargée"/>
    <x v="53"/>
    <s v="Violette"/>
    <x v="1"/>
    <x v="53"/>
    <x v="1"/>
  </r>
  <r>
    <m/>
    <d v="2025-09-08T00:00:00"/>
    <x v="2"/>
    <x v="2"/>
    <s v="QR Code"/>
    <s v="Émargée"/>
    <x v="53"/>
    <s v="Violette"/>
    <x v="2"/>
    <x v="53"/>
    <x v="1"/>
  </r>
  <r>
    <m/>
    <d v="2025-09-08T00:00:00"/>
    <x v="3"/>
    <x v="3"/>
    <s v="QR Code"/>
    <s v="Émargée"/>
    <x v="53"/>
    <s v="Violette"/>
    <x v="3"/>
    <x v="53"/>
    <x v="1"/>
  </r>
  <r>
    <m/>
    <d v="2025-09-09T00:00:00"/>
    <x v="0"/>
    <x v="0"/>
    <s v="QR Code"/>
    <s v="Émargée"/>
    <x v="107"/>
    <s v="Elvire"/>
    <x v="0"/>
    <x v="106"/>
    <x v="0"/>
  </r>
  <r>
    <m/>
    <d v="2025-09-09T00:00:00"/>
    <x v="0"/>
    <x v="0"/>
    <s v="QR Code"/>
    <s v="Émargée"/>
    <x v="108"/>
    <s v="Yaokun"/>
    <x v="0"/>
    <x v="107"/>
    <x v="1"/>
  </r>
  <r>
    <m/>
    <d v="2025-09-08T00:00:00"/>
    <x v="4"/>
    <x v="4"/>
    <s v="QR Code"/>
    <s v="Émargée"/>
    <x v="54"/>
    <s v="Karl"/>
    <x v="4"/>
    <x v="54"/>
    <x v="1"/>
  </r>
  <r>
    <m/>
    <d v="2025-09-08T00:00:00"/>
    <x v="1"/>
    <x v="1"/>
    <s v="QR Code"/>
    <s v="Émargée"/>
    <x v="54"/>
    <s v="Karl"/>
    <x v="1"/>
    <x v="54"/>
    <x v="1"/>
  </r>
  <r>
    <m/>
    <d v="2025-09-08T00:00:00"/>
    <x v="2"/>
    <x v="2"/>
    <s v="QR Code"/>
    <s v="Émargée"/>
    <x v="54"/>
    <s v="Karl"/>
    <x v="2"/>
    <x v="54"/>
    <x v="1"/>
  </r>
  <r>
    <m/>
    <d v="2025-09-08T00:00:00"/>
    <x v="3"/>
    <x v="3"/>
    <s v="QR Code"/>
    <s v="Émargée"/>
    <x v="54"/>
    <s v="Karl"/>
    <x v="3"/>
    <x v="54"/>
    <x v="1"/>
  </r>
  <r>
    <m/>
    <d v="2025-09-09T00:00:00"/>
    <x v="0"/>
    <x v="0"/>
    <s v="QR Code"/>
    <s v="Émargée"/>
    <x v="109"/>
    <s v="Skylar"/>
    <x v="0"/>
    <x v="108"/>
    <x v="0"/>
  </r>
  <r>
    <m/>
    <d v="2025-09-09T00:00:00"/>
    <x v="0"/>
    <x v="0"/>
    <s v="QR Code"/>
    <s v="Émargée"/>
    <x v="110"/>
    <s v="Liza"/>
    <x v="0"/>
    <x v="109"/>
    <x v="0"/>
  </r>
  <r>
    <m/>
    <d v="2025-09-08T00:00:00"/>
    <x v="4"/>
    <x v="4"/>
    <s v="QR Code"/>
    <s v="Émargée"/>
    <x v="55"/>
    <s v="Lydie"/>
    <x v="4"/>
    <x v="55"/>
    <x v="0"/>
  </r>
  <r>
    <m/>
    <d v="2025-09-08T00:00:00"/>
    <x v="1"/>
    <x v="1"/>
    <s v="QR Code"/>
    <s v="Émargée"/>
    <x v="55"/>
    <s v="Lydie"/>
    <x v="1"/>
    <x v="55"/>
    <x v="0"/>
  </r>
  <r>
    <m/>
    <d v="2025-09-08T00:00:00"/>
    <x v="2"/>
    <x v="2"/>
    <s v="QR Code"/>
    <s v="Émargée"/>
    <x v="55"/>
    <s v="Lydie"/>
    <x v="2"/>
    <x v="55"/>
    <x v="1"/>
  </r>
  <r>
    <m/>
    <d v="2025-09-08T00:00:00"/>
    <x v="3"/>
    <x v="3"/>
    <s v="QR Code"/>
    <s v="Émargée"/>
    <x v="55"/>
    <s v="Lydie"/>
    <x v="3"/>
    <x v="55"/>
    <x v="0"/>
  </r>
  <r>
    <m/>
    <d v="2025-09-09T00:00:00"/>
    <x v="0"/>
    <x v="0"/>
    <s v="QR Code"/>
    <s v="Émargée"/>
    <x v="111"/>
    <s v="Zhiqian"/>
    <x v="0"/>
    <x v="110"/>
    <x v="0"/>
  </r>
  <r>
    <m/>
    <d v="2025-09-09T00:00:00"/>
    <x v="0"/>
    <x v="0"/>
    <s v="QR Code"/>
    <s v="Émargée"/>
    <x v="112"/>
    <s v="Esther"/>
    <x v="0"/>
    <x v="111"/>
    <x v="1"/>
  </r>
  <r>
    <m/>
    <d v="2025-09-08T00:00:00"/>
    <x v="4"/>
    <x v="4"/>
    <s v="QR Code"/>
    <s v="Émargée"/>
    <x v="56"/>
    <s v="Pierre"/>
    <x v="4"/>
    <x v="56"/>
    <x v="1"/>
  </r>
  <r>
    <m/>
    <d v="2025-09-08T00:00:00"/>
    <x v="1"/>
    <x v="1"/>
    <s v="QR Code"/>
    <s v="Émargée"/>
    <x v="56"/>
    <s v="Pierre"/>
    <x v="1"/>
    <x v="56"/>
    <x v="1"/>
  </r>
  <r>
    <m/>
    <d v="2025-09-08T00:00:00"/>
    <x v="2"/>
    <x v="2"/>
    <s v="QR Code"/>
    <s v="Émargée"/>
    <x v="56"/>
    <s v="Pierre"/>
    <x v="2"/>
    <x v="56"/>
    <x v="1"/>
  </r>
  <r>
    <m/>
    <d v="2025-09-08T00:00:00"/>
    <x v="3"/>
    <x v="3"/>
    <s v="QR Code"/>
    <s v="Émargée"/>
    <x v="56"/>
    <s v="Pierre"/>
    <x v="3"/>
    <x v="56"/>
    <x v="1"/>
  </r>
  <r>
    <m/>
    <d v="2025-09-09T00:00:00"/>
    <x v="0"/>
    <x v="0"/>
    <s v="QR Code"/>
    <s v="Émargée"/>
    <x v="113"/>
    <s v="Adélaïde"/>
    <x v="0"/>
    <x v="112"/>
    <x v="0"/>
  </r>
  <r>
    <m/>
    <d v="2025-09-09T00:00:00"/>
    <x v="0"/>
    <x v="0"/>
    <s v="QR Code"/>
    <s v="Émargée"/>
    <x v="114"/>
    <s v="Milo"/>
    <x v="0"/>
    <x v="113"/>
    <x v="0"/>
  </r>
  <r>
    <m/>
    <d v="2025-09-08T00:00:00"/>
    <x v="1"/>
    <x v="1"/>
    <s v="QR Code"/>
    <s v="Émargée"/>
    <x v="57"/>
    <s v="Jude"/>
    <x v="1"/>
    <x v="57"/>
    <x v="1"/>
  </r>
  <r>
    <m/>
    <d v="2025-09-08T00:00:00"/>
    <x v="2"/>
    <x v="2"/>
    <s v="QR Code"/>
    <s v="Émargée"/>
    <x v="57"/>
    <s v="Jude"/>
    <x v="2"/>
    <x v="57"/>
    <x v="1"/>
  </r>
  <r>
    <m/>
    <d v="2025-09-08T00:00:00"/>
    <x v="3"/>
    <x v="3"/>
    <s v="QR Code"/>
    <s v="Émargée"/>
    <x v="57"/>
    <s v="Jude"/>
    <x v="3"/>
    <x v="57"/>
    <x v="1"/>
  </r>
  <r>
    <m/>
    <d v="2025-09-09T00:00:00"/>
    <x v="0"/>
    <x v="0"/>
    <s v="QR Code"/>
    <s v="Émargée"/>
    <x v="115"/>
    <s v="Fanny"/>
    <x v="0"/>
    <x v="114"/>
    <x v="1"/>
  </r>
  <r>
    <m/>
    <d v="2025-09-09T00:00:00"/>
    <x v="0"/>
    <x v="0"/>
    <s v="QR Code"/>
    <s v="Émargée"/>
    <x v="116"/>
    <s v="Lauriane"/>
    <x v="0"/>
    <x v="115"/>
    <x v="1"/>
  </r>
  <r>
    <m/>
    <d v="2025-09-08T00:00:00"/>
    <x v="4"/>
    <x v="4"/>
    <s v="QR Code"/>
    <s v="Émargée"/>
    <x v="58"/>
    <s v="Pierre-Emmanuel"/>
    <x v="4"/>
    <x v="58"/>
    <x v="1"/>
  </r>
  <r>
    <m/>
    <d v="2025-09-08T00:00:00"/>
    <x v="1"/>
    <x v="1"/>
    <s v="QR Code"/>
    <s v="Émargée"/>
    <x v="58"/>
    <s v="Pierre-Emmanuel"/>
    <x v="1"/>
    <x v="58"/>
    <x v="1"/>
  </r>
  <r>
    <m/>
    <d v="2025-09-08T00:00:00"/>
    <x v="2"/>
    <x v="2"/>
    <s v="QR Code"/>
    <s v="Émargée"/>
    <x v="58"/>
    <s v="Pierre-Emmanuel"/>
    <x v="2"/>
    <x v="58"/>
    <x v="1"/>
  </r>
  <r>
    <m/>
    <d v="2025-09-08T00:00:00"/>
    <x v="3"/>
    <x v="3"/>
    <s v="QR Code"/>
    <s v="Émargée"/>
    <x v="58"/>
    <s v="Pierre-Emmanuel"/>
    <x v="3"/>
    <x v="58"/>
    <x v="1"/>
  </r>
  <r>
    <m/>
    <d v="2025-09-09T00:00:00"/>
    <x v="0"/>
    <x v="0"/>
    <s v="QR Code"/>
    <s v="Émargée"/>
    <x v="117"/>
    <s v="Éléonore"/>
    <x v="0"/>
    <x v="116"/>
    <x v="0"/>
  </r>
  <r>
    <m/>
    <d v="2025-09-09T00:00:00"/>
    <x v="0"/>
    <x v="0"/>
    <s v="QR Code"/>
    <s v="Émargée"/>
    <x v="118"/>
    <s v="Coralie"/>
    <x v="0"/>
    <x v="117"/>
    <x v="0"/>
  </r>
  <r>
    <m/>
    <d v="2025-09-08T00:00:00"/>
    <x v="4"/>
    <x v="4"/>
    <s v="QR Code"/>
    <s v="Émargée"/>
    <x v="59"/>
    <s v="Jaume"/>
    <x v="4"/>
    <x v="59"/>
    <x v="1"/>
  </r>
  <r>
    <m/>
    <d v="2025-09-08T00:00:00"/>
    <x v="1"/>
    <x v="1"/>
    <s v="QR Code"/>
    <s v="Émargée"/>
    <x v="59"/>
    <s v="Jaume"/>
    <x v="1"/>
    <x v="59"/>
    <x v="1"/>
  </r>
  <r>
    <m/>
    <d v="2025-09-08T00:00:00"/>
    <x v="2"/>
    <x v="2"/>
    <s v="QR Code"/>
    <s v="Émargée"/>
    <x v="59"/>
    <s v="Jaume"/>
    <x v="2"/>
    <x v="59"/>
    <x v="1"/>
  </r>
  <r>
    <m/>
    <d v="2025-09-08T00:00:00"/>
    <x v="3"/>
    <x v="3"/>
    <s v="QR Code"/>
    <s v="Émargée"/>
    <x v="59"/>
    <s v="Jaume"/>
    <x v="3"/>
    <x v="59"/>
    <x v="1"/>
  </r>
  <r>
    <m/>
    <d v="2025-09-09T00:00:00"/>
    <x v="0"/>
    <x v="0"/>
    <s v="QR Code"/>
    <s v="Émargée"/>
    <x v="119"/>
    <s v="Marie-Aude"/>
    <x v="0"/>
    <x v="118"/>
    <x v="1"/>
  </r>
  <r>
    <m/>
    <d v="2025-09-09T00:00:00"/>
    <x v="0"/>
    <x v="0"/>
    <s v="QR Code"/>
    <s v="Émargée"/>
    <x v="120"/>
    <s v="Léo"/>
    <x v="0"/>
    <x v="119"/>
    <x v="0"/>
  </r>
  <r>
    <m/>
    <d v="2025-09-08T00:00:00"/>
    <x v="4"/>
    <x v="4"/>
    <s v="QR Code"/>
    <s v="Émargée"/>
    <x v="60"/>
    <s v="Garance"/>
    <x v="4"/>
    <x v="60"/>
    <x v="0"/>
  </r>
  <r>
    <m/>
    <d v="2025-09-08T00:00:00"/>
    <x v="1"/>
    <x v="1"/>
    <s v="QR Code"/>
    <s v="Émargée"/>
    <x v="60"/>
    <s v="Garance"/>
    <x v="1"/>
    <x v="60"/>
    <x v="0"/>
  </r>
  <r>
    <m/>
    <d v="2025-09-08T00:00:00"/>
    <x v="2"/>
    <x v="2"/>
    <s v="QR Code"/>
    <s v="Émargée"/>
    <x v="60"/>
    <s v="Garance"/>
    <x v="2"/>
    <x v="60"/>
    <x v="0"/>
  </r>
  <r>
    <m/>
    <d v="2025-09-08T00:00:00"/>
    <x v="3"/>
    <x v="3"/>
    <s v="QR Code"/>
    <s v="Émargée"/>
    <x v="60"/>
    <s v="Garance"/>
    <x v="3"/>
    <x v="60"/>
    <x v="0"/>
  </r>
  <r>
    <m/>
    <d v="2025-09-09T00:00:00"/>
    <x v="0"/>
    <x v="0"/>
    <s v="QR Code"/>
    <s v="Émargée"/>
    <x v="121"/>
    <s v="Naïs"/>
    <x v="0"/>
    <x v="120"/>
    <x v="0"/>
  </r>
  <r>
    <m/>
    <d v="2025-09-09T00:00:00"/>
    <x v="0"/>
    <x v="0"/>
    <s v="QR Code"/>
    <s v="Émargée"/>
    <x v="122"/>
    <s v="Maël"/>
    <x v="0"/>
    <x v="121"/>
    <x v="1"/>
  </r>
  <r>
    <m/>
    <d v="2025-09-08T00:00:00"/>
    <x v="4"/>
    <x v="4"/>
    <s v="QR Code"/>
    <s v="Émargée"/>
    <x v="61"/>
    <s v="Victor"/>
    <x v="4"/>
    <x v="61"/>
    <x v="0"/>
  </r>
  <r>
    <m/>
    <d v="2025-09-08T00:00:00"/>
    <x v="1"/>
    <x v="1"/>
    <s v="QR Code"/>
    <s v="Émargée"/>
    <x v="61"/>
    <s v="Victor"/>
    <x v="1"/>
    <x v="61"/>
    <x v="0"/>
  </r>
  <r>
    <m/>
    <d v="2025-09-08T00:00:00"/>
    <x v="2"/>
    <x v="2"/>
    <s v="QR Code"/>
    <s v="Émargée"/>
    <x v="61"/>
    <s v="Victor"/>
    <x v="2"/>
    <x v="61"/>
    <x v="0"/>
  </r>
  <r>
    <m/>
    <d v="2025-09-08T00:00:00"/>
    <x v="3"/>
    <x v="3"/>
    <s v="QR Code"/>
    <s v="Émargée"/>
    <x v="61"/>
    <s v="Victor"/>
    <x v="3"/>
    <x v="61"/>
    <x v="0"/>
  </r>
  <r>
    <m/>
    <d v="2025-09-09T00:00:00"/>
    <x v="0"/>
    <x v="0"/>
    <s v="QR Code"/>
    <s v="Émargée"/>
    <x v="123"/>
    <s v="Joffrey"/>
    <x v="0"/>
    <x v="122"/>
    <x v="1"/>
  </r>
  <r>
    <m/>
    <d v="2025-09-09T00:00:00"/>
    <x v="0"/>
    <x v="0"/>
    <s v="QR Code"/>
    <s v="Émargée"/>
    <x v="124"/>
    <s v="Salvatore"/>
    <x v="0"/>
    <x v="123"/>
    <x v="0"/>
  </r>
  <r>
    <m/>
    <d v="2025-09-08T00:00:00"/>
    <x v="4"/>
    <x v="4"/>
    <s v="QR Code"/>
    <s v="Émargée"/>
    <x v="62"/>
    <s v="Adèle, Lili, Violette"/>
    <x v="4"/>
    <x v="62"/>
    <x v="0"/>
  </r>
  <r>
    <m/>
    <d v="2025-09-08T00:00:00"/>
    <x v="1"/>
    <x v="1"/>
    <s v="QR Code"/>
    <s v="Émargée"/>
    <x v="62"/>
    <s v="Adèle, Lili, Violette"/>
    <x v="1"/>
    <x v="62"/>
    <x v="0"/>
  </r>
  <r>
    <m/>
    <d v="2025-09-08T00:00:00"/>
    <x v="2"/>
    <x v="2"/>
    <s v="QR Code"/>
    <s v="Émargée"/>
    <x v="62"/>
    <s v="Adèle, Lili, Violette"/>
    <x v="2"/>
    <x v="62"/>
    <x v="0"/>
  </r>
  <r>
    <m/>
    <d v="2025-09-08T00:00:00"/>
    <x v="3"/>
    <x v="3"/>
    <s v="QR Code"/>
    <s v="Émargée"/>
    <x v="62"/>
    <s v="Adèle, Lili, Violette"/>
    <x v="3"/>
    <x v="62"/>
    <x v="0"/>
  </r>
  <r>
    <m/>
    <d v="2025-09-09T00:00:00"/>
    <x v="0"/>
    <x v="0"/>
    <s v="QR Code"/>
    <s v="Émargée"/>
    <x v="125"/>
    <s v="Mélodie"/>
    <x v="0"/>
    <x v="124"/>
    <x v="1"/>
  </r>
  <r>
    <m/>
    <d v="2025-09-09T00:00:00"/>
    <x v="0"/>
    <x v="0"/>
    <s v="QR Code"/>
    <s v="Émargée"/>
    <x v="126"/>
    <s v="Léo"/>
    <x v="0"/>
    <x v="125"/>
    <x v="1"/>
  </r>
  <r>
    <m/>
    <d v="2025-09-08T00:00:00"/>
    <x v="4"/>
    <x v="4"/>
    <s v="QR Code"/>
    <s v="Émargée"/>
    <x v="63"/>
    <s v="Rudy"/>
    <x v="4"/>
    <x v="63"/>
    <x v="1"/>
  </r>
  <r>
    <m/>
    <d v="2025-09-08T00:00:00"/>
    <x v="1"/>
    <x v="1"/>
    <s v="QR Code"/>
    <s v="Émargée"/>
    <x v="63"/>
    <s v="Rudy"/>
    <x v="1"/>
    <x v="63"/>
    <x v="1"/>
  </r>
  <r>
    <m/>
    <d v="2025-09-08T00:00:00"/>
    <x v="2"/>
    <x v="2"/>
    <s v="QR Code"/>
    <s v="Émargée"/>
    <x v="63"/>
    <s v="Rudy"/>
    <x v="2"/>
    <x v="63"/>
    <x v="1"/>
  </r>
  <r>
    <m/>
    <d v="2025-09-08T00:00:00"/>
    <x v="3"/>
    <x v="3"/>
    <s v="QR Code"/>
    <s v="Émargée"/>
    <x v="63"/>
    <s v="Rudy"/>
    <x v="3"/>
    <x v="63"/>
    <x v="1"/>
  </r>
  <r>
    <m/>
    <d v="2025-09-09T00:00:00"/>
    <x v="0"/>
    <x v="0"/>
    <s v="QR Code"/>
    <s v="Émargée"/>
    <x v="127"/>
    <s v="Mariam"/>
    <x v="0"/>
    <x v="126"/>
    <x v="1"/>
  </r>
  <r>
    <m/>
    <d v="2025-09-09T00:00:00"/>
    <x v="0"/>
    <x v="0"/>
    <s v="QR Code"/>
    <s v="Émargée"/>
    <x v="128"/>
    <s v="Alan"/>
    <x v="0"/>
    <x v="127"/>
    <x v="0"/>
  </r>
  <r>
    <m/>
    <d v="2025-09-08T00:00:00"/>
    <x v="4"/>
    <x v="4"/>
    <s v="QR Code"/>
    <s v="Émargée"/>
    <x v="64"/>
    <s v="Arthur"/>
    <x v="4"/>
    <x v="64"/>
    <x v="1"/>
  </r>
  <r>
    <m/>
    <d v="2025-09-08T00:00:00"/>
    <x v="1"/>
    <x v="1"/>
    <s v="QR Code"/>
    <s v="Émargée"/>
    <x v="64"/>
    <s v="Arthur"/>
    <x v="1"/>
    <x v="64"/>
    <x v="1"/>
  </r>
  <r>
    <m/>
    <d v="2025-09-08T00:00:00"/>
    <x v="2"/>
    <x v="2"/>
    <s v="QR Code"/>
    <s v="Émargée"/>
    <x v="64"/>
    <s v="Arthur"/>
    <x v="2"/>
    <x v="64"/>
    <x v="1"/>
  </r>
  <r>
    <m/>
    <d v="2025-09-08T00:00:00"/>
    <x v="3"/>
    <x v="3"/>
    <s v="QR Code"/>
    <s v="Émargée"/>
    <x v="64"/>
    <s v="Arthur"/>
    <x v="3"/>
    <x v="64"/>
    <x v="1"/>
  </r>
  <r>
    <m/>
    <d v="2025-09-09T00:00:00"/>
    <x v="0"/>
    <x v="0"/>
    <s v="QR Code"/>
    <s v="Émargée"/>
    <x v="129"/>
    <s v="Félicien"/>
    <x v="0"/>
    <x v="128"/>
    <x v="0"/>
  </r>
  <r>
    <m/>
    <d v="2025-09-09T00:00:00"/>
    <x v="0"/>
    <x v="0"/>
    <s v="QR Code"/>
    <s v="Émargée"/>
    <x v="130"/>
    <s v="Arcadi"/>
    <x v="0"/>
    <x v="129"/>
    <x v="0"/>
  </r>
  <r>
    <m/>
    <d v="2025-09-08T00:00:00"/>
    <x v="4"/>
    <x v="4"/>
    <s v="QR Code"/>
    <s v="Émargée"/>
    <x v="65"/>
    <s v="Paul"/>
    <x v="4"/>
    <x v="65"/>
    <x v="0"/>
  </r>
  <r>
    <m/>
    <d v="2025-09-08T00:00:00"/>
    <x v="1"/>
    <x v="1"/>
    <s v="QR Code"/>
    <s v="Émargée"/>
    <x v="65"/>
    <s v="Paul"/>
    <x v="1"/>
    <x v="65"/>
    <x v="0"/>
  </r>
  <r>
    <m/>
    <d v="2025-09-08T00:00:00"/>
    <x v="2"/>
    <x v="2"/>
    <s v="QR Code"/>
    <s v="Émargée"/>
    <x v="65"/>
    <s v="Paul"/>
    <x v="2"/>
    <x v="65"/>
    <x v="0"/>
  </r>
  <r>
    <m/>
    <d v="2025-09-08T00:00:00"/>
    <x v="3"/>
    <x v="3"/>
    <s v="QR Code"/>
    <s v="Émargée"/>
    <x v="65"/>
    <s v="Paul"/>
    <x v="3"/>
    <x v="65"/>
    <x v="0"/>
  </r>
  <r>
    <m/>
    <d v="2025-09-09T00:00:00"/>
    <x v="0"/>
    <x v="0"/>
    <s v="QR Code"/>
    <s v="Émargée"/>
    <x v="131"/>
    <s v="Nicolas, Elie"/>
    <x v="0"/>
    <x v="130"/>
    <x v="0"/>
  </r>
  <r>
    <m/>
    <d v="2025-09-09T00:00:00"/>
    <x v="0"/>
    <x v="0"/>
    <s v="QR Code"/>
    <s v="Émargée"/>
    <x v="132"/>
    <s v="Pierre"/>
    <x v="0"/>
    <x v="131"/>
    <x v="0"/>
  </r>
  <r>
    <m/>
    <d v="2025-09-08T00:00:00"/>
    <x v="4"/>
    <x v="4"/>
    <s v="QR Code"/>
    <s v="Émargée"/>
    <x v="66"/>
    <s v="Zéphyr"/>
    <x v="4"/>
    <x v="66"/>
    <x v="0"/>
  </r>
  <r>
    <m/>
    <d v="2025-09-08T00:00:00"/>
    <x v="1"/>
    <x v="1"/>
    <s v="QR Code"/>
    <s v="Émargée"/>
    <x v="66"/>
    <s v="Zéphyr"/>
    <x v="1"/>
    <x v="66"/>
    <x v="0"/>
  </r>
  <r>
    <m/>
    <d v="2025-09-08T00:00:00"/>
    <x v="2"/>
    <x v="2"/>
    <s v="QR Code"/>
    <s v="Émargée"/>
    <x v="66"/>
    <s v="Zéphyr"/>
    <x v="2"/>
    <x v="66"/>
    <x v="0"/>
  </r>
  <r>
    <m/>
    <d v="2025-09-08T00:00:00"/>
    <x v="3"/>
    <x v="3"/>
    <s v="QR Code"/>
    <s v="Émargée"/>
    <x v="66"/>
    <s v="Zéphyr"/>
    <x v="3"/>
    <x v="66"/>
    <x v="0"/>
  </r>
  <r>
    <m/>
    <d v="2025-09-09T00:00:00"/>
    <x v="0"/>
    <x v="0"/>
    <s v="QR Code"/>
    <s v="Émargée"/>
    <x v="133"/>
    <s v="Killyan"/>
    <x v="0"/>
    <x v="132"/>
    <x v="0"/>
  </r>
  <r>
    <m/>
    <d v="2025-09-09T00:00:00"/>
    <x v="0"/>
    <x v="0"/>
    <s v="QR Code"/>
    <s v="Émargée"/>
    <x v="134"/>
    <s v="Bilal"/>
    <x v="0"/>
    <x v="133"/>
    <x v="1"/>
  </r>
  <r>
    <m/>
    <d v="2025-09-08T00:00:00"/>
    <x v="4"/>
    <x v="4"/>
    <s v="QR Code"/>
    <s v="Émargée"/>
    <x v="67"/>
    <s v="Yuko"/>
    <x v="4"/>
    <x v="67"/>
    <x v="0"/>
  </r>
  <r>
    <m/>
    <d v="2025-09-08T00:00:00"/>
    <x v="1"/>
    <x v="1"/>
    <s v="QR Code"/>
    <s v="Émargée"/>
    <x v="67"/>
    <s v="Yuko"/>
    <x v="1"/>
    <x v="67"/>
    <x v="0"/>
  </r>
  <r>
    <m/>
    <d v="2025-09-08T00:00:00"/>
    <x v="2"/>
    <x v="2"/>
    <s v="QR Code"/>
    <s v="Émargée"/>
    <x v="67"/>
    <s v="Yuko"/>
    <x v="2"/>
    <x v="67"/>
    <x v="0"/>
  </r>
  <r>
    <m/>
    <d v="2025-09-08T00:00:00"/>
    <x v="3"/>
    <x v="3"/>
    <s v="QR Code"/>
    <s v="Émargée"/>
    <x v="67"/>
    <s v="Yuko"/>
    <x v="3"/>
    <x v="67"/>
    <x v="0"/>
  </r>
  <r>
    <m/>
    <d v="2025-09-09T00:00:00"/>
    <x v="0"/>
    <x v="0"/>
    <s v="QR Code"/>
    <s v="Émargée"/>
    <x v="135"/>
    <s v="Meiko"/>
    <x v="0"/>
    <x v="134"/>
    <x v="1"/>
  </r>
  <r>
    <m/>
    <d v="2025-09-09T00:00:00"/>
    <x v="0"/>
    <x v="0"/>
    <s v="QR Code"/>
    <s v="Émargée"/>
    <x v="136"/>
    <s v="Abel"/>
    <x v="0"/>
    <x v="135"/>
    <x v="0"/>
  </r>
  <r>
    <m/>
    <d v="2025-09-08T00:00:00"/>
    <x v="4"/>
    <x v="4"/>
    <s v="QR Code"/>
    <s v="Émargée"/>
    <x v="68"/>
    <s v="Odile"/>
    <x v="4"/>
    <x v="68"/>
    <x v="0"/>
  </r>
  <r>
    <m/>
    <d v="2025-09-08T00:00:00"/>
    <x v="1"/>
    <x v="1"/>
    <s v="QR Code"/>
    <s v="Émargée"/>
    <x v="68"/>
    <s v="Odile"/>
    <x v="1"/>
    <x v="68"/>
    <x v="0"/>
  </r>
  <r>
    <m/>
    <d v="2025-09-08T00:00:00"/>
    <x v="2"/>
    <x v="2"/>
    <s v="QR Code"/>
    <s v="Émargée"/>
    <x v="68"/>
    <s v="Odile"/>
    <x v="2"/>
    <x v="68"/>
    <x v="0"/>
  </r>
  <r>
    <m/>
    <d v="2025-09-08T00:00:00"/>
    <x v="3"/>
    <x v="3"/>
    <s v="QR Code"/>
    <s v="Émargée"/>
    <x v="68"/>
    <s v="Odile"/>
    <x v="3"/>
    <x v="68"/>
    <x v="0"/>
  </r>
  <r>
    <m/>
    <d v="2025-09-09T00:00:00"/>
    <x v="0"/>
    <x v="0"/>
    <s v="QR Code"/>
    <s v="Émargée"/>
    <x v="137"/>
    <s v="Geoffrey"/>
    <x v="0"/>
    <x v="136"/>
    <x v="0"/>
  </r>
  <r>
    <m/>
    <d v="2025-09-09T00:00:00"/>
    <x v="0"/>
    <x v="0"/>
    <s v="QR Code"/>
    <s v="Émargée"/>
    <x v="138"/>
    <s v="Kim-Hac-Tram"/>
    <x v="0"/>
    <x v="136"/>
    <x v="0"/>
  </r>
  <r>
    <m/>
    <d v="2025-09-08T00:00:00"/>
    <x v="1"/>
    <x v="1"/>
    <s v="QR Code"/>
    <s v="Émargée"/>
    <x v="69"/>
    <s v="Eliane"/>
    <x v="1"/>
    <x v="69"/>
    <x v="1"/>
  </r>
  <r>
    <m/>
    <d v="2025-09-08T00:00:00"/>
    <x v="2"/>
    <x v="2"/>
    <s v="QR Code"/>
    <s v="Émargée"/>
    <x v="69"/>
    <s v="Eliane"/>
    <x v="2"/>
    <x v="69"/>
    <x v="1"/>
  </r>
  <r>
    <m/>
    <d v="2025-09-08T00:00:00"/>
    <x v="3"/>
    <x v="3"/>
    <s v="QR Code"/>
    <s v="Émargée"/>
    <x v="69"/>
    <s v="Eliane"/>
    <x v="3"/>
    <x v="69"/>
    <x v="1"/>
  </r>
  <r>
    <m/>
    <d v="2025-09-09T00:00:00"/>
    <x v="0"/>
    <x v="0"/>
    <s v="QR Code"/>
    <s v="Émargée"/>
    <x v="139"/>
    <s v="Rébecca"/>
    <x v="0"/>
    <x v="137"/>
    <x v="1"/>
  </r>
  <r>
    <m/>
    <d v="2025-09-09T00:00:00"/>
    <x v="0"/>
    <x v="0"/>
    <s v="QR Code"/>
    <s v="Émargée"/>
    <x v="140"/>
    <s v="Nathan"/>
    <x v="0"/>
    <x v="138"/>
    <x v="1"/>
  </r>
  <r>
    <m/>
    <d v="2025-09-08T00:00:00"/>
    <x v="4"/>
    <x v="4"/>
    <s v="QR Code"/>
    <s v="Émargée"/>
    <x v="70"/>
    <s v="Raphaël"/>
    <x v="4"/>
    <x v="70"/>
    <x v="0"/>
  </r>
  <r>
    <m/>
    <d v="2025-09-08T00:00:00"/>
    <x v="1"/>
    <x v="1"/>
    <s v="QR Code"/>
    <s v="Émargée"/>
    <x v="70"/>
    <s v="Raphaël"/>
    <x v="1"/>
    <x v="70"/>
    <x v="0"/>
  </r>
  <r>
    <m/>
    <d v="2025-09-08T00:00:00"/>
    <x v="2"/>
    <x v="2"/>
    <s v="QR Code"/>
    <s v="Émargée"/>
    <x v="70"/>
    <s v="Raphaël"/>
    <x v="2"/>
    <x v="70"/>
    <x v="0"/>
  </r>
  <r>
    <m/>
    <d v="2025-09-08T00:00:00"/>
    <x v="3"/>
    <x v="3"/>
    <s v="QR Code"/>
    <s v="Émargée"/>
    <x v="70"/>
    <s v="Raphaël"/>
    <x v="3"/>
    <x v="70"/>
    <x v="0"/>
  </r>
  <r>
    <m/>
    <d v="2025-09-09T00:00:00"/>
    <x v="0"/>
    <x v="0"/>
    <s v="QR Code"/>
    <s v="Émargée"/>
    <x v="141"/>
    <s v="Alexandre"/>
    <x v="0"/>
    <x v="139"/>
    <x v="1"/>
  </r>
  <r>
    <m/>
    <d v="2025-09-09T00:00:00"/>
    <x v="0"/>
    <x v="0"/>
    <s v="QR Code"/>
    <s v="Émargée"/>
    <x v="142"/>
    <s v="Ariel, Eric"/>
    <x v="0"/>
    <x v="140"/>
    <x v="0"/>
  </r>
  <r>
    <m/>
    <d v="2025-09-08T00:00:00"/>
    <x v="4"/>
    <x v="4"/>
    <s v="QR Code"/>
    <s v="Émargée"/>
    <x v="71"/>
    <s v="Loris Valentino"/>
    <x v="4"/>
    <x v="71"/>
    <x v="0"/>
  </r>
  <r>
    <m/>
    <d v="2025-09-08T00:00:00"/>
    <x v="1"/>
    <x v="1"/>
    <s v="QR Code"/>
    <s v="Émargée"/>
    <x v="71"/>
    <s v="Loris Valentino"/>
    <x v="1"/>
    <x v="71"/>
    <x v="0"/>
  </r>
  <r>
    <m/>
    <d v="2025-09-08T00:00:00"/>
    <x v="2"/>
    <x v="2"/>
    <s v="QR Code"/>
    <s v="Émargée"/>
    <x v="71"/>
    <s v="Loris Valentino"/>
    <x v="2"/>
    <x v="71"/>
    <x v="0"/>
  </r>
  <r>
    <m/>
    <d v="2025-09-08T00:00:00"/>
    <x v="3"/>
    <x v="3"/>
    <s v="QR Code"/>
    <s v="Émargée"/>
    <x v="71"/>
    <s v="Loris Valentino"/>
    <x v="3"/>
    <x v="71"/>
    <x v="0"/>
  </r>
  <r>
    <m/>
    <d v="2025-09-09T00:00:00"/>
    <x v="0"/>
    <x v="0"/>
    <s v="QR Code"/>
    <s v="Émargée"/>
    <x v="143"/>
    <s v="Siah"/>
    <x v="0"/>
    <x v="141"/>
    <x v="0"/>
  </r>
  <r>
    <m/>
    <d v="2025-09-08T00:00:00"/>
    <x v="4"/>
    <x v="4"/>
    <s v="QR Code"/>
    <s v="Émargée"/>
    <x v="72"/>
    <s v="Alexis"/>
    <x v="4"/>
    <x v="72"/>
    <x v="1"/>
  </r>
  <r>
    <m/>
    <d v="2025-09-08T00:00:00"/>
    <x v="1"/>
    <x v="1"/>
    <s v="QR Code"/>
    <s v="Émargée"/>
    <x v="72"/>
    <s v="Alexis"/>
    <x v="1"/>
    <x v="72"/>
    <x v="0"/>
  </r>
  <r>
    <m/>
    <d v="2025-09-08T00:00:00"/>
    <x v="2"/>
    <x v="2"/>
    <s v="QR Code"/>
    <s v="Émargée"/>
    <x v="72"/>
    <s v="Alexis"/>
    <x v="2"/>
    <x v="72"/>
    <x v="1"/>
  </r>
  <r>
    <m/>
    <d v="2025-09-08T00:00:00"/>
    <x v="3"/>
    <x v="3"/>
    <s v="QR Code"/>
    <s v="Émargée"/>
    <x v="72"/>
    <s v="Alexis"/>
    <x v="3"/>
    <x v="72"/>
    <x v="1"/>
  </r>
  <r>
    <m/>
    <d v="2025-09-09T00:00:00"/>
    <x v="0"/>
    <x v="0"/>
    <s v="QR Code"/>
    <s v="Émargée"/>
    <x v="144"/>
    <s v="Miho"/>
    <x v="0"/>
    <x v="142"/>
    <x v="0"/>
  </r>
  <r>
    <m/>
    <d v="2025-09-09T00:00:00"/>
    <x v="0"/>
    <x v="0"/>
    <s v="QR Code"/>
    <s v="Émargée"/>
    <x v="145"/>
    <s v="Clément"/>
    <x v="0"/>
    <x v="143"/>
    <x v="1"/>
  </r>
  <r>
    <m/>
    <d v="2025-09-08T00:00:00"/>
    <x v="4"/>
    <x v="4"/>
    <s v="QR Code"/>
    <s v="Émargée"/>
    <x v="73"/>
    <s v="Ansel"/>
    <x v="4"/>
    <x v="73"/>
    <x v="0"/>
  </r>
  <r>
    <m/>
    <d v="2025-09-08T00:00:00"/>
    <x v="1"/>
    <x v="1"/>
    <s v="QR Code"/>
    <s v="Émargée"/>
    <x v="73"/>
    <s v="Ansel"/>
    <x v="1"/>
    <x v="73"/>
    <x v="0"/>
  </r>
  <r>
    <m/>
    <d v="2025-09-08T00:00:00"/>
    <x v="2"/>
    <x v="2"/>
    <s v="QR Code"/>
    <s v="Émargée"/>
    <x v="73"/>
    <s v="Ansel"/>
    <x v="2"/>
    <x v="73"/>
    <x v="0"/>
  </r>
  <r>
    <m/>
    <d v="2025-09-08T00:00:00"/>
    <x v="3"/>
    <x v="3"/>
    <s v="QR Code"/>
    <s v="Émargée"/>
    <x v="73"/>
    <s v="Ansel"/>
    <x v="3"/>
    <x v="73"/>
    <x v="0"/>
  </r>
  <r>
    <m/>
    <d v="2025-09-09T00:00:00"/>
    <x v="0"/>
    <x v="0"/>
    <s v="QR Code"/>
    <s v="Émargée"/>
    <x v="146"/>
    <s v="Sarah"/>
    <x v="0"/>
    <x v="144"/>
    <x v="0"/>
  </r>
  <r>
    <m/>
    <d v="2025-09-09T00:00:00"/>
    <x v="0"/>
    <x v="0"/>
    <s v="QR Code"/>
    <s v="Émargée"/>
    <x v="147"/>
    <s v="Jules"/>
    <x v="0"/>
    <x v="145"/>
    <x v="1"/>
  </r>
  <r>
    <m/>
    <d v="2025-09-08T00:00:00"/>
    <x v="4"/>
    <x v="4"/>
    <s v="QR Code"/>
    <s v="Émargée"/>
    <x v="74"/>
    <s v="Thomas"/>
    <x v="4"/>
    <x v="74"/>
    <x v="0"/>
  </r>
  <r>
    <m/>
    <d v="2025-09-08T00:00:00"/>
    <x v="1"/>
    <x v="1"/>
    <s v="QR Code"/>
    <s v="Émargée"/>
    <x v="74"/>
    <s v="Thomas"/>
    <x v="1"/>
    <x v="74"/>
    <x v="0"/>
  </r>
  <r>
    <m/>
    <d v="2025-09-08T00:00:00"/>
    <x v="2"/>
    <x v="2"/>
    <s v="QR Code"/>
    <s v="Émargée"/>
    <x v="74"/>
    <s v="Thomas"/>
    <x v="2"/>
    <x v="74"/>
    <x v="0"/>
  </r>
  <r>
    <m/>
    <d v="2025-09-08T00:00:00"/>
    <x v="3"/>
    <x v="3"/>
    <s v="QR Code"/>
    <s v="Émargée"/>
    <x v="74"/>
    <s v="Thomas"/>
    <x v="3"/>
    <x v="74"/>
    <x v="0"/>
  </r>
  <r>
    <m/>
    <d v="2025-09-09T00:00:00"/>
    <x v="0"/>
    <x v="0"/>
    <s v="QR Code"/>
    <s v="Émargée"/>
    <x v="148"/>
    <s v="Armand"/>
    <x v="0"/>
    <x v="146"/>
    <x v="0"/>
  </r>
  <r>
    <m/>
    <d v="2025-09-09T00:00:00"/>
    <x v="0"/>
    <x v="0"/>
    <s v="QR Code"/>
    <s v="Émargée"/>
    <x v="149"/>
    <s v="Antoine"/>
    <x v="0"/>
    <x v="147"/>
    <x v="0"/>
  </r>
  <r>
    <m/>
    <d v="2025-09-08T00:00:00"/>
    <x v="4"/>
    <x v="4"/>
    <s v="QR Code"/>
    <s v="Émargée"/>
    <x v="75"/>
    <s v="Louis"/>
    <x v="4"/>
    <x v="75"/>
    <x v="0"/>
  </r>
  <r>
    <m/>
    <d v="2025-09-08T00:00:00"/>
    <x v="1"/>
    <x v="1"/>
    <s v="QR Code"/>
    <s v="Émargée"/>
    <x v="75"/>
    <s v="Louis"/>
    <x v="1"/>
    <x v="75"/>
    <x v="0"/>
  </r>
  <r>
    <m/>
    <d v="2025-09-08T00:00:00"/>
    <x v="2"/>
    <x v="2"/>
    <s v="QR Code"/>
    <s v="Émargée"/>
    <x v="75"/>
    <s v="Louis"/>
    <x v="2"/>
    <x v="75"/>
    <x v="0"/>
  </r>
  <r>
    <m/>
    <d v="2025-09-08T00:00:00"/>
    <x v="3"/>
    <x v="3"/>
    <s v="QR Code"/>
    <s v="Émargée"/>
    <x v="75"/>
    <s v="Louis"/>
    <x v="3"/>
    <x v="75"/>
    <x v="0"/>
  </r>
  <r>
    <m/>
    <d v="2025-09-09T00:00:00"/>
    <x v="0"/>
    <x v="0"/>
    <s v="QR Code"/>
    <s v="Émargée"/>
    <x v="150"/>
    <s v="Morgane"/>
    <x v="0"/>
    <x v="148"/>
    <x v="0"/>
  </r>
  <r>
    <m/>
    <d v="2025-09-08T00:00:00"/>
    <x v="4"/>
    <x v="4"/>
    <s v="QR Code"/>
    <s v="Émargée"/>
    <x v="76"/>
    <s v="Adrien"/>
    <x v="4"/>
    <x v="76"/>
    <x v="0"/>
  </r>
  <r>
    <m/>
    <d v="2025-09-08T00:00:00"/>
    <x v="1"/>
    <x v="1"/>
    <s v="QR Code"/>
    <s v="Émargée"/>
    <x v="76"/>
    <s v="Adrien"/>
    <x v="1"/>
    <x v="76"/>
    <x v="0"/>
  </r>
  <r>
    <m/>
    <d v="2025-09-08T00:00:00"/>
    <x v="2"/>
    <x v="2"/>
    <s v="QR Code"/>
    <s v="Émargée"/>
    <x v="76"/>
    <s v="Adrien"/>
    <x v="2"/>
    <x v="76"/>
    <x v="0"/>
  </r>
  <r>
    <m/>
    <d v="2025-09-08T00:00:00"/>
    <x v="3"/>
    <x v="3"/>
    <s v="QR Code"/>
    <s v="Émargée"/>
    <x v="76"/>
    <s v="Adrien"/>
    <x v="3"/>
    <x v="76"/>
    <x v="0"/>
  </r>
  <r>
    <m/>
    <d v="2025-09-09T00:00:00"/>
    <x v="0"/>
    <x v="0"/>
    <s v="QR Code"/>
    <s v="Émargée"/>
    <x v="151"/>
    <s v="Josserand"/>
    <x v="0"/>
    <x v="149"/>
    <x v="0"/>
  </r>
  <r>
    <m/>
    <d v="2025-09-09T00:00:00"/>
    <x v="0"/>
    <x v="0"/>
    <s v="QR Code"/>
    <s v="Émargée"/>
    <x v="152"/>
    <s v="Thomas"/>
    <x v="0"/>
    <x v="150"/>
    <x v="1"/>
  </r>
  <r>
    <m/>
    <d v="2025-09-08T00:00:00"/>
    <x v="4"/>
    <x v="4"/>
    <s v="QR Code"/>
    <s v="Émargée"/>
    <x v="77"/>
    <s v="Sarra"/>
    <x v="4"/>
    <x v="77"/>
    <x v="0"/>
  </r>
  <r>
    <m/>
    <d v="2025-09-08T00:00:00"/>
    <x v="1"/>
    <x v="1"/>
    <s v="QR Code"/>
    <s v="Émargée"/>
    <x v="77"/>
    <s v="Sarra"/>
    <x v="1"/>
    <x v="77"/>
    <x v="0"/>
  </r>
  <r>
    <m/>
    <d v="2025-09-08T00:00:00"/>
    <x v="2"/>
    <x v="2"/>
    <s v="QR Code"/>
    <s v="Émargée"/>
    <x v="77"/>
    <s v="Sarra"/>
    <x v="2"/>
    <x v="77"/>
    <x v="0"/>
  </r>
  <r>
    <m/>
    <d v="2025-09-08T00:00:00"/>
    <x v="3"/>
    <x v="3"/>
    <s v="QR Code"/>
    <s v="Émargée"/>
    <x v="77"/>
    <s v="Sarra"/>
    <x v="3"/>
    <x v="77"/>
    <x v="1"/>
  </r>
  <r>
    <m/>
    <d v="2025-09-09T00:00:00"/>
    <x v="0"/>
    <x v="0"/>
    <s v="QR Code"/>
    <s v="Émargée"/>
    <x v="153"/>
    <s v="Félix"/>
    <x v="0"/>
    <x v="151"/>
    <x v="0"/>
  </r>
  <r>
    <m/>
    <d v="2025-09-09T00:00:00"/>
    <x v="0"/>
    <x v="0"/>
    <s v="QR Code"/>
    <s v="Émargée"/>
    <x v="154"/>
    <s v="Étienne"/>
    <x v="0"/>
    <x v="152"/>
    <x v="0"/>
  </r>
  <r>
    <m/>
    <d v="2025-09-08T00:00:00"/>
    <x v="4"/>
    <x v="4"/>
    <s v="QR Code"/>
    <s v="Émargée"/>
    <x v="78"/>
    <s v="Rei"/>
    <x v="4"/>
    <x v="78"/>
    <x v="0"/>
  </r>
  <r>
    <m/>
    <d v="2025-09-08T00:00:00"/>
    <x v="1"/>
    <x v="1"/>
    <s v="QR Code"/>
    <s v="Émargée"/>
    <x v="78"/>
    <s v="Rei"/>
    <x v="1"/>
    <x v="78"/>
    <x v="0"/>
  </r>
  <r>
    <m/>
    <d v="2025-09-08T00:00:00"/>
    <x v="2"/>
    <x v="2"/>
    <s v="QR Code"/>
    <s v="Émargée"/>
    <x v="78"/>
    <s v="Rei"/>
    <x v="2"/>
    <x v="78"/>
    <x v="0"/>
  </r>
  <r>
    <m/>
    <d v="2025-09-08T00:00:00"/>
    <x v="3"/>
    <x v="3"/>
    <s v="QR Code"/>
    <s v="Émargée"/>
    <x v="78"/>
    <s v="Rei"/>
    <x v="3"/>
    <x v="78"/>
    <x v="0"/>
  </r>
  <r>
    <m/>
    <d v="2025-09-09T00:00:00"/>
    <x v="0"/>
    <x v="0"/>
    <s v="QR Code"/>
    <s v="Émargée"/>
    <x v="155"/>
    <s v="Dani"/>
    <x v="0"/>
    <x v="153"/>
    <x v="1"/>
  </r>
  <r>
    <m/>
    <d v="2025-09-09T00:00:00"/>
    <x v="0"/>
    <x v="0"/>
    <s v="QR Code"/>
    <s v="Émargée"/>
    <x v="156"/>
    <s v="Adrien"/>
    <x v="0"/>
    <x v="154"/>
    <x v="1"/>
  </r>
  <r>
    <m/>
    <d v="2025-09-08T00:00:00"/>
    <x v="4"/>
    <x v="4"/>
    <s v="QR Code"/>
    <s v="Émargée"/>
    <x v="79"/>
    <s v="Victor"/>
    <x v="4"/>
    <x v="79"/>
    <x v="0"/>
  </r>
  <r>
    <m/>
    <d v="2025-09-08T00:00:00"/>
    <x v="1"/>
    <x v="1"/>
    <s v="QR Code"/>
    <s v="Émargée"/>
    <x v="79"/>
    <s v="Victor"/>
    <x v="1"/>
    <x v="79"/>
    <x v="0"/>
  </r>
  <r>
    <m/>
    <d v="2025-09-08T00:00:00"/>
    <x v="2"/>
    <x v="2"/>
    <s v="QR Code"/>
    <s v="Émargée"/>
    <x v="79"/>
    <s v="Victor"/>
    <x v="2"/>
    <x v="79"/>
    <x v="0"/>
  </r>
  <r>
    <m/>
    <d v="2025-09-08T00:00:00"/>
    <x v="3"/>
    <x v="3"/>
    <s v="QR Code"/>
    <s v="Émargée"/>
    <x v="79"/>
    <s v="Victor"/>
    <x v="3"/>
    <x v="79"/>
    <x v="0"/>
  </r>
  <r>
    <m/>
    <d v="2025-09-09T00:00:00"/>
    <x v="0"/>
    <x v="0"/>
    <s v="QR Code"/>
    <s v="Émargée"/>
    <x v="157"/>
    <s v="Emile"/>
    <x v="0"/>
    <x v="155"/>
    <x v="0"/>
  </r>
  <r>
    <m/>
    <d v="2025-09-09T00:00:00"/>
    <x v="0"/>
    <x v="0"/>
    <s v="QR Code"/>
    <s v="Émargée"/>
    <x v="158"/>
    <s v="Pierre-Antoine"/>
    <x v="0"/>
    <x v="156"/>
    <x v="1"/>
  </r>
  <r>
    <m/>
    <d v="2025-09-08T00:00:00"/>
    <x v="4"/>
    <x v="4"/>
    <s v="QR Code"/>
    <s v="Émargée"/>
    <x v="80"/>
    <s v="Hugo"/>
    <x v="4"/>
    <x v="80"/>
    <x v="0"/>
  </r>
  <r>
    <m/>
    <d v="2025-09-08T00:00:00"/>
    <x v="1"/>
    <x v="1"/>
    <s v="QR Code"/>
    <s v="Émargée"/>
    <x v="80"/>
    <s v="Hugo"/>
    <x v="1"/>
    <x v="80"/>
    <x v="0"/>
  </r>
  <r>
    <m/>
    <d v="2025-09-08T00:00:00"/>
    <x v="2"/>
    <x v="2"/>
    <s v="QR Code"/>
    <s v="Émargée"/>
    <x v="80"/>
    <s v="Hugo"/>
    <x v="2"/>
    <x v="80"/>
    <x v="0"/>
  </r>
  <r>
    <m/>
    <d v="2025-09-08T00:00:00"/>
    <x v="3"/>
    <x v="3"/>
    <s v="QR Code"/>
    <s v="Émargée"/>
    <x v="80"/>
    <s v="Hugo"/>
    <x v="3"/>
    <x v="80"/>
    <x v="0"/>
  </r>
  <r>
    <m/>
    <d v="2025-09-09T00:00:00"/>
    <x v="0"/>
    <x v="0"/>
    <s v="QR Code"/>
    <s v="Émargée"/>
    <x v="159"/>
    <s v="Émile"/>
    <x v="0"/>
    <x v="157"/>
    <x v="0"/>
  </r>
  <r>
    <m/>
    <d v="2025-09-09T00:00:00"/>
    <x v="0"/>
    <x v="0"/>
    <s v="QR Code"/>
    <s v="Émargée"/>
    <x v="160"/>
    <s v="Pauline"/>
    <x v="0"/>
    <x v="158"/>
    <x v="0"/>
  </r>
  <r>
    <m/>
    <d v="2025-09-08T00:00:00"/>
    <x v="4"/>
    <x v="4"/>
    <s v="QR Code"/>
    <s v="Émargée"/>
    <x v="81"/>
    <s v="Éléa"/>
    <x v="4"/>
    <x v="81"/>
    <x v="0"/>
  </r>
  <r>
    <m/>
    <d v="2025-09-08T00:00:00"/>
    <x v="1"/>
    <x v="1"/>
    <s v="QR Code"/>
    <s v="Émargée"/>
    <x v="81"/>
    <s v="Éléa"/>
    <x v="1"/>
    <x v="81"/>
    <x v="0"/>
  </r>
  <r>
    <m/>
    <d v="2025-09-08T00:00:00"/>
    <x v="2"/>
    <x v="2"/>
    <s v="QR Code"/>
    <s v="Émargée"/>
    <x v="81"/>
    <s v="Éléa"/>
    <x v="2"/>
    <x v="81"/>
    <x v="0"/>
  </r>
  <r>
    <m/>
    <d v="2025-09-08T00:00:00"/>
    <x v="3"/>
    <x v="3"/>
    <s v="QR Code"/>
    <s v="Émargée"/>
    <x v="81"/>
    <s v="Éléa"/>
    <x v="3"/>
    <x v="81"/>
    <x v="0"/>
  </r>
  <r>
    <m/>
    <d v="2025-09-09T00:00:00"/>
    <x v="0"/>
    <x v="0"/>
    <s v="QR Code"/>
    <s v="Émargée"/>
    <x v="161"/>
    <s v="Estellie"/>
    <x v="0"/>
    <x v="159"/>
    <x v="1"/>
  </r>
  <r>
    <m/>
    <d v="2025-09-09T00:00:00"/>
    <x v="0"/>
    <x v="0"/>
    <s v="QR Code"/>
    <s v="Émargée"/>
    <x v="162"/>
    <s v="Nino"/>
    <x v="0"/>
    <x v="160"/>
    <x v="0"/>
  </r>
  <r>
    <m/>
    <d v="2025-09-08T00:00:00"/>
    <x v="4"/>
    <x v="4"/>
    <s v="QR Code"/>
    <s v="Émargée"/>
    <x v="82"/>
    <s v="Jiayue"/>
    <x v="4"/>
    <x v="82"/>
    <x v="0"/>
  </r>
  <r>
    <m/>
    <d v="2025-09-08T00:00:00"/>
    <x v="1"/>
    <x v="1"/>
    <s v="QR Code"/>
    <s v="Émargée"/>
    <x v="82"/>
    <s v="Jiayue"/>
    <x v="1"/>
    <x v="82"/>
    <x v="0"/>
  </r>
  <r>
    <m/>
    <d v="2025-09-08T00:00:00"/>
    <x v="2"/>
    <x v="2"/>
    <s v="QR Code"/>
    <s v="Émargée"/>
    <x v="82"/>
    <s v="Jiayue"/>
    <x v="2"/>
    <x v="82"/>
    <x v="0"/>
  </r>
  <r>
    <m/>
    <d v="2025-09-08T00:00:00"/>
    <x v="3"/>
    <x v="3"/>
    <s v="QR Code"/>
    <s v="Émargée"/>
    <x v="82"/>
    <s v="Jiayue"/>
    <x v="3"/>
    <x v="82"/>
    <x v="0"/>
  </r>
  <r>
    <m/>
    <d v="2025-09-09T00:00:00"/>
    <x v="0"/>
    <x v="0"/>
    <s v="QR Code"/>
    <s v="Émargée"/>
    <x v="163"/>
    <s v="Cyrielle"/>
    <x v="0"/>
    <x v="161"/>
    <x v="0"/>
  </r>
  <r>
    <m/>
    <d v="2025-09-09T00:00:00"/>
    <x v="0"/>
    <x v="0"/>
    <s v="QR Code"/>
    <s v="Émargée"/>
    <x v="164"/>
    <s v="Chloë"/>
    <x v="0"/>
    <x v="162"/>
    <x v="1"/>
  </r>
  <r>
    <m/>
    <d v="2025-09-08T00:00:00"/>
    <x v="4"/>
    <x v="4"/>
    <s v="QR Code"/>
    <s v="Émargée"/>
    <x v="83"/>
    <s v="Alonso"/>
    <x v="4"/>
    <x v="83"/>
    <x v="0"/>
  </r>
  <r>
    <m/>
    <d v="2025-09-08T00:00:00"/>
    <x v="1"/>
    <x v="1"/>
    <s v="QR Code"/>
    <s v="Émargée"/>
    <x v="83"/>
    <s v="Alonso"/>
    <x v="1"/>
    <x v="83"/>
    <x v="0"/>
  </r>
  <r>
    <m/>
    <d v="2025-09-08T00:00:00"/>
    <x v="2"/>
    <x v="2"/>
    <s v="QR Code"/>
    <s v="Émargée"/>
    <x v="83"/>
    <s v="Alonso"/>
    <x v="2"/>
    <x v="83"/>
    <x v="0"/>
  </r>
  <r>
    <m/>
    <d v="2025-09-08T00:00:00"/>
    <x v="3"/>
    <x v="3"/>
    <s v="QR Code"/>
    <s v="Émargée"/>
    <x v="83"/>
    <s v="Alonso"/>
    <x v="3"/>
    <x v="83"/>
    <x v="0"/>
  </r>
  <r>
    <m/>
    <d v="2025-09-09T00:00:00"/>
    <x v="0"/>
    <x v="0"/>
    <s v="QR Code"/>
    <s v="Émargée"/>
    <x v="165"/>
    <s v="Soni-Sesto"/>
    <x v="0"/>
    <x v="163"/>
    <x v="1"/>
  </r>
  <r>
    <m/>
    <d v="2025-09-09T00:00:00"/>
    <x v="0"/>
    <x v="0"/>
    <s v="QR Code"/>
    <s v="Émargée"/>
    <x v="166"/>
    <s v="Marie"/>
    <x v="0"/>
    <x v="164"/>
    <x v="1"/>
  </r>
  <r>
    <m/>
    <d v="2025-09-08T00:00:00"/>
    <x v="1"/>
    <x v="1"/>
    <s v="QR Code"/>
    <s v="Émargée"/>
    <x v="167"/>
    <s v="Hugo"/>
    <x v="1"/>
    <x v="165"/>
    <x v="0"/>
  </r>
  <r>
    <m/>
    <d v="2025-09-08T00:00:00"/>
    <x v="2"/>
    <x v="2"/>
    <s v="QR Code"/>
    <s v="Émargée"/>
    <x v="167"/>
    <s v="Hugo"/>
    <x v="2"/>
    <x v="165"/>
    <x v="0"/>
  </r>
  <r>
    <m/>
    <d v="2025-09-08T00:00:00"/>
    <x v="3"/>
    <x v="3"/>
    <s v="QR Code"/>
    <s v="Émargée"/>
    <x v="167"/>
    <s v="Hugo"/>
    <x v="3"/>
    <x v="165"/>
    <x v="1"/>
  </r>
  <r>
    <m/>
    <d v="2025-09-09T00:00:00"/>
    <x v="0"/>
    <x v="0"/>
    <s v="QR Code"/>
    <s v="Émargée"/>
    <x v="168"/>
    <s v="Chloé"/>
    <x v="0"/>
    <x v="166"/>
    <x v="1"/>
  </r>
  <r>
    <m/>
    <d v="2025-09-09T00:00:00"/>
    <x v="0"/>
    <x v="0"/>
    <s v="QR Code"/>
    <s v="Émargée"/>
    <x v="169"/>
    <s v="Noé"/>
    <x v="0"/>
    <x v="167"/>
    <x v="0"/>
  </r>
  <r>
    <m/>
    <d v="2025-09-08T00:00:00"/>
    <x v="1"/>
    <x v="1"/>
    <s v="QR Code"/>
    <s v="Émargée"/>
    <x v="84"/>
    <s v="Enric"/>
    <x v="1"/>
    <x v="84"/>
    <x v="1"/>
  </r>
  <r>
    <m/>
    <d v="2025-09-08T00:00:00"/>
    <x v="2"/>
    <x v="2"/>
    <s v="QR Code"/>
    <s v="Émargée"/>
    <x v="84"/>
    <s v="Enric"/>
    <x v="2"/>
    <x v="84"/>
    <x v="1"/>
  </r>
  <r>
    <m/>
    <d v="2025-09-08T00:00:00"/>
    <x v="3"/>
    <x v="3"/>
    <s v="QR Code"/>
    <s v="Émargée"/>
    <x v="84"/>
    <s v="Enric"/>
    <x v="3"/>
    <x v="84"/>
    <x v="1"/>
  </r>
  <r>
    <m/>
    <d v="2025-09-09T00:00:00"/>
    <x v="0"/>
    <x v="0"/>
    <s v="QR Code"/>
    <s v="Émargée"/>
    <x v="170"/>
    <s v="Guillaume"/>
    <x v="0"/>
    <x v="168"/>
    <x v="1"/>
  </r>
  <r>
    <m/>
    <d v="2025-09-09T00:00:00"/>
    <x v="0"/>
    <x v="0"/>
    <s v="QR Code"/>
    <s v="Émargée"/>
    <x v="171"/>
    <s v="Louis"/>
    <x v="0"/>
    <x v="169"/>
    <x v="0"/>
  </r>
  <r>
    <m/>
    <d v="2025-09-08T00:00:00"/>
    <x v="4"/>
    <x v="4"/>
    <s v="QR Code"/>
    <s v="Émargée"/>
    <x v="85"/>
    <s v="Antoine"/>
    <x v="4"/>
    <x v="85"/>
    <x v="0"/>
  </r>
  <r>
    <m/>
    <d v="2025-09-08T00:00:00"/>
    <x v="1"/>
    <x v="1"/>
    <s v="QR Code"/>
    <s v="Émargée"/>
    <x v="85"/>
    <s v="Antoine"/>
    <x v="1"/>
    <x v="85"/>
    <x v="0"/>
  </r>
  <r>
    <m/>
    <d v="2025-09-08T00:00:00"/>
    <x v="2"/>
    <x v="2"/>
    <s v="QR Code"/>
    <s v="Émargée"/>
    <x v="85"/>
    <s v="Antoine"/>
    <x v="2"/>
    <x v="85"/>
    <x v="0"/>
  </r>
  <r>
    <m/>
    <d v="2025-09-08T00:00:00"/>
    <x v="3"/>
    <x v="3"/>
    <s v="QR Code"/>
    <s v="Émargée"/>
    <x v="85"/>
    <s v="Antoine"/>
    <x v="3"/>
    <x v="85"/>
    <x v="1"/>
  </r>
  <r>
    <m/>
    <d v="2025-09-09T00:00:00"/>
    <x v="0"/>
    <x v="0"/>
    <s v="QR Code"/>
    <s v="Émargée"/>
    <x v="172"/>
    <s v="Hiromi"/>
    <x v="0"/>
    <x v="170"/>
    <x v="0"/>
  </r>
  <r>
    <m/>
    <d v="2025-09-09T00:00:00"/>
    <x v="0"/>
    <x v="0"/>
    <s v="QR Code"/>
    <s v="Émargée"/>
    <x v="173"/>
    <s v="Paolo"/>
    <x v="0"/>
    <x v="171"/>
    <x v="1"/>
  </r>
  <r>
    <m/>
    <d v="2025-09-08T00:00:00"/>
    <x v="4"/>
    <x v="4"/>
    <s v="QR Code"/>
    <s v="Émargée"/>
    <x v="86"/>
    <s v="Takashi"/>
    <x v="4"/>
    <x v="86"/>
    <x v="1"/>
  </r>
  <r>
    <m/>
    <d v="2025-09-08T00:00:00"/>
    <x v="1"/>
    <x v="1"/>
    <s v="QR Code"/>
    <s v="Émargée"/>
    <x v="86"/>
    <s v="Takashi"/>
    <x v="1"/>
    <x v="86"/>
    <x v="1"/>
  </r>
  <r>
    <m/>
    <d v="2025-09-08T00:00:00"/>
    <x v="2"/>
    <x v="2"/>
    <s v="QR Code"/>
    <s v="Émargée"/>
    <x v="86"/>
    <s v="Takashi"/>
    <x v="2"/>
    <x v="86"/>
    <x v="1"/>
  </r>
  <r>
    <m/>
    <d v="2025-09-08T00:00:00"/>
    <x v="3"/>
    <x v="3"/>
    <s v="QR Code"/>
    <s v="Émargée"/>
    <x v="86"/>
    <s v="Takashi"/>
    <x v="3"/>
    <x v="86"/>
    <x v="1"/>
  </r>
  <r>
    <m/>
    <d v="2025-09-09T00:00:00"/>
    <x v="0"/>
    <x v="0"/>
    <s v="QR Code"/>
    <s v="Émargée"/>
    <x v="174"/>
    <s v="Solveig"/>
    <x v="0"/>
    <x v="172"/>
    <x v="1"/>
  </r>
  <r>
    <m/>
    <d v="2025-09-09T00:00:00"/>
    <x v="0"/>
    <x v="0"/>
    <s v="QR Code"/>
    <s v="Émargée"/>
    <x v="175"/>
    <s v="Manon"/>
    <x v="0"/>
    <x v="173"/>
    <x v="0"/>
  </r>
  <r>
    <m/>
    <d v="2025-09-08T00:00:00"/>
    <x v="4"/>
    <x v="4"/>
    <s v="QR Code"/>
    <s v="Émargée"/>
    <x v="87"/>
    <s v="Henry"/>
    <x v="4"/>
    <x v="87"/>
    <x v="0"/>
  </r>
  <r>
    <m/>
    <d v="2025-09-08T00:00:00"/>
    <x v="1"/>
    <x v="1"/>
    <s v="QR Code"/>
    <s v="Émargée"/>
    <x v="87"/>
    <s v="Henry"/>
    <x v="1"/>
    <x v="87"/>
    <x v="0"/>
  </r>
  <r>
    <m/>
    <d v="2025-09-08T00:00:00"/>
    <x v="2"/>
    <x v="2"/>
    <s v="QR Code"/>
    <s v="Émargée"/>
    <x v="87"/>
    <s v="Henry"/>
    <x v="2"/>
    <x v="87"/>
    <x v="0"/>
  </r>
  <r>
    <m/>
    <d v="2025-09-08T00:00:00"/>
    <x v="3"/>
    <x v="3"/>
    <s v="QR Code"/>
    <s v="Émargée"/>
    <x v="87"/>
    <s v="Henry"/>
    <x v="3"/>
    <x v="87"/>
    <x v="0"/>
  </r>
  <r>
    <m/>
    <d v="2025-09-09T00:00:00"/>
    <x v="0"/>
    <x v="0"/>
    <s v="QR Code"/>
    <s v="Émargée"/>
    <x v="176"/>
    <s v="Mai"/>
    <x v="0"/>
    <x v="174"/>
    <x v="0"/>
  </r>
  <r>
    <m/>
    <d v="2025-09-09T00:00:00"/>
    <x v="0"/>
    <x v="0"/>
    <s v="QR Code"/>
    <s v="Émargée"/>
    <x v="177"/>
    <s v="Elisio"/>
    <x v="0"/>
    <x v="175"/>
    <x v="0"/>
  </r>
  <r>
    <m/>
    <d v="2025-09-08T00:00:00"/>
    <x v="4"/>
    <x v="4"/>
    <s v="QR Code"/>
    <s v="Émargée"/>
    <x v="88"/>
    <s v="Nils"/>
    <x v="4"/>
    <x v="88"/>
    <x v="0"/>
  </r>
  <r>
    <m/>
    <d v="2025-09-08T00:00:00"/>
    <x v="1"/>
    <x v="1"/>
    <s v="QR Code"/>
    <s v="Émargée"/>
    <x v="88"/>
    <s v="Nils"/>
    <x v="1"/>
    <x v="88"/>
    <x v="0"/>
  </r>
  <r>
    <m/>
    <d v="2025-09-08T00:00:00"/>
    <x v="2"/>
    <x v="2"/>
    <s v="QR Code"/>
    <s v="Émargée"/>
    <x v="88"/>
    <s v="Nils"/>
    <x v="2"/>
    <x v="88"/>
    <x v="0"/>
  </r>
  <r>
    <m/>
    <d v="2025-09-08T00:00:00"/>
    <x v="3"/>
    <x v="3"/>
    <s v="QR Code"/>
    <s v="Émargée"/>
    <x v="88"/>
    <s v="Nils"/>
    <x v="3"/>
    <x v="88"/>
    <x v="1"/>
  </r>
  <r>
    <m/>
    <d v="2025-09-09T00:00:00"/>
    <x v="0"/>
    <x v="0"/>
    <s v="QR Code"/>
    <s v="Émargée"/>
    <x v="178"/>
    <s v="Marina"/>
    <x v="0"/>
    <x v="176"/>
    <x v="0"/>
  </r>
  <r>
    <m/>
    <d v="2025-09-09T00:00:00"/>
    <x v="0"/>
    <x v="0"/>
    <s v="QR Code"/>
    <s v="Émargée"/>
    <x v="179"/>
    <s v="Sungwon"/>
    <x v="0"/>
    <x v="177"/>
    <x v="1"/>
  </r>
  <r>
    <m/>
    <d v="2025-09-08T00:00:00"/>
    <x v="4"/>
    <x v="4"/>
    <s v="QR Code"/>
    <s v="Émargée"/>
    <x v="90"/>
    <s v="Rouben"/>
    <x v="4"/>
    <x v="90"/>
    <x v="0"/>
  </r>
  <r>
    <m/>
    <d v="2025-09-08T00:00:00"/>
    <x v="1"/>
    <x v="1"/>
    <s v="QR Code"/>
    <s v="Émargée"/>
    <x v="90"/>
    <s v="Rouben"/>
    <x v="1"/>
    <x v="90"/>
    <x v="0"/>
  </r>
  <r>
    <m/>
    <d v="2025-09-08T00:00:00"/>
    <x v="2"/>
    <x v="2"/>
    <s v="QR Code"/>
    <s v="Émargée"/>
    <x v="90"/>
    <s v="Rouben"/>
    <x v="2"/>
    <x v="90"/>
    <x v="0"/>
  </r>
  <r>
    <m/>
    <d v="2025-09-08T00:00:00"/>
    <x v="3"/>
    <x v="3"/>
    <s v="QR Code"/>
    <s v="Émargée"/>
    <x v="90"/>
    <s v="Rouben"/>
    <x v="3"/>
    <x v="90"/>
    <x v="0"/>
  </r>
  <r>
    <m/>
    <d v="2025-09-09T00:00:00"/>
    <x v="0"/>
    <x v="0"/>
    <s v="QR Code"/>
    <s v="Émargée"/>
    <x v="180"/>
    <s v="Masaki"/>
    <x v="0"/>
    <x v="178"/>
    <x v="0"/>
  </r>
  <r>
    <m/>
    <d v="2025-09-09T00:00:00"/>
    <x v="0"/>
    <x v="0"/>
    <s v="QR Code"/>
    <s v="Émargée"/>
    <x v="181"/>
    <s v="David"/>
    <x v="0"/>
    <x v="179"/>
    <x v="1"/>
  </r>
  <r>
    <m/>
    <d v="2025-09-08T00:00:00"/>
    <x v="4"/>
    <x v="4"/>
    <s v="QR Code"/>
    <s v="Émargée"/>
    <x v="91"/>
    <s v="Ariane"/>
    <x v="4"/>
    <x v="91"/>
    <x v="0"/>
  </r>
  <r>
    <m/>
    <d v="2025-09-08T00:00:00"/>
    <x v="1"/>
    <x v="1"/>
    <s v="QR Code"/>
    <s v="Émargée"/>
    <x v="91"/>
    <s v="Ariane"/>
    <x v="1"/>
    <x v="91"/>
    <x v="0"/>
  </r>
  <r>
    <m/>
    <d v="2025-09-08T00:00:00"/>
    <x v="2"/>
    <x v="2"/>
    <s v="QR Code"/>
    <s v="Émargée"/>
    <x v="91"/>
    <s v="Ariane"/>
    <x v="2"/>
    <x v="91"/>
    <x v="0"/>
  </r>
  <r>
    <m/>
    <d v="2025-09-08T00:00:00"/>
    <x v="3"/>
    <x v="3"/>
    <s v="QR Code"/>
    <s v="Émargée"/>
    <x v="91"/>
    <s v="Ariane"/>
    <x v="3"/>
    <x v="91"/>
    <x v="0"/>
  </r>
  <r>
    <m/>
    <d v="2025-09-09T00:00:00"/>
    <x v="0"/>
    <x v="0"/>
    <s v="QR Code"/>
    <s v="Émargée"/>
    <x v="182"/>
    <s v="Hinata"/>
    <x v="0"/>
    <x v="180"/>
    <x v="0"/>
  </r>
  <r>
    <m/>
    <d v="2025-09-09T00:00:00"/>
    <x v="0"/>
    <x v="0"/>
    <s v="QR Code"/>
    <s v="Émargée"/>
    <x v="183"/>
    <s v="Yume"/>
    <x v="0"/>
    <x v="181"/>
    <x v="1"/>
  </r>
  <r>
    <m/>
    <d v="2025-09-08T00:00:00"/>
    <x v="1"/>
    <x v="1"/>
    <s v="QR Code"/>
    <s v="Émargée"/>
    <x v="184"/>
    <s v="Justine"/>
    <x v="1"/>
    <x v="182"/>
    <x v="0"/>
  </r>
  <r>
    <m/>
    <d v="2025-09-08T00:00:00"/>
    <x v="2"/>
    <x v="2"/>
    <s v="QR Code"/>
    <s v="Émargée"/>
    <x v="184"/>
    <s v="Justine"/>
    <x v="2"/>
    <x v="182"/>
    <x v="0"/>
  </r>
  <r>
    <m/>
    <d v="2025-09-08T00:00:00"/>
    <x v="3"/>
    <x v="3"/>
    <s v="QR Code"/>
    <s v="Émargée"/>
    <x v="184"/>
    <s v="Justine"/>
    <x v="3"/>
    <x v="182"/>
    <x v="1"/>
  </r>
  <r>
    <m/>
    <d v="2025-09-09T00:00:00"/>
    <x v="0"/>
    <x v="0"/>
    <s v="QR Code"/>
    <s v="Émargée"/>
    <x v="185"/>
    <s v="Clovis"/>
    <x v="0"/>
    <x v="183"/>
    <x v="0"/>
  </r>
  <r>
    <m/>
    <d v="2025-09-09T00:00:00"/>
    <x v="0"/>
    <x v="0"/>
    <s v="QR Code"/>
    <s v="Émargée"/>
    <x v="186"/>
    <s v="William"/>
    <x v="0"/>
    <x v="184"/>
    <x v="1"/>
  </r>
  <r>
    <m/>
    <d v="2025-09-09T00:00:00"/>
    <x v="0"/>
    <x v="0"/>
    <s v="QR Code"/>
    <s v="Émargée"/>
    <x v="187"/>
    <s v="Ivan"/>
    <x v="0"/>
    <x v="185"/>
    <x v="1"/>
  </r>
  <r>
    <m/>
    <d v="2025-09-08T00:00:00"/>
    <x v="4"/>
    <x v="4"/>
    <s v="QR Code"/>
    <s v="Émargée"/>
    <x v="92"/>
    <s v="Seohyeon"/>
    <x v="4"/>
    <x v="92"/>
    <x v="1"/>
  </r>
  <r>
    <m/>
    <d v="2025-09-08T00:00:00"/>
    <x v="4"/>
    <x v="4"/>
    <s v="QR Code"/>
    <s v="Émargée"/>
    <x v="93"/>
    <s v="Minjae"/>
    <x v="4"/>
    <x v="92"/>
    <x v="0"/>
  </r>
  <r>
    <m/>
    <d v="2025-09-08T00:00:00"/>
    <x v="1"/>
    <x v="1"/>
    <s v="QR Code"/>
    <s v="Émargée"/>
    <x v="92"/>
    <s v="Seohyeon"/>
    <x v="1"/>
    <x v="92"/>
    <x v="1"/>
  </r>
  <r>
    <m/>
    <d v="2025-09-08T00:00:00"/>
    <x v="1"/>
    <x v="1"/>
    <s v="QR Code"/>
    <s v="Émargée"/>
    <x v="93"/>
    <s v="Minjae"/>
    <x v="1"/>
    <x v="92"/>
    <x v="0"/>
  </r>
  <r>
    <m/>
    <d v="2025-09-08T00:00:00"/>
    <x v="2"/>
    <x v="2"/>
    <s v="QR Code"/>
    <s v="Émargée"/>
    <x v="92"/>
    <s v="Seohyeon"/>
    <x v="2"/>
    <x v="92"/>
    <x v="1"/>
  </r>
  <r>
    <m/>
    <d v="2025-09-08T00:00:00"/>
    <x v="2"/>
    <x v="2"/>
    <s v="QR Code"/>
    <s v="Émargée"/>
    <x v="93"/>
    <s v="Minjae"/>
    <x v="2"/>
    <x v="92"/>
    <x v="0"/>
  </r>
  <r>
    <m/>
    <d v="2025-09-08T00:00:00"/>
    <x v="3"/>
    <x v="3"/>
    <s v="QR Code"/>
    <s v="Émargée"/>
    <x v="92"/>
    <s v="Seohyeon"/>
    <x v="3"/>
    <x v="92"/>
    <x v="1"/>
  </r>
  <r>
    <m/>
    <d v="2025-09-08T00:00:00"/>
    <x v="3"/>
    <x v="3"/>
    <s v="QR Code"/>
    <s v="Émargée"/>
    <x v="93"/>
    <s v="Minjae"/>
    <x v="3"/>
    <x v="92"/>
    <x v="0"/>
  </r>
  <r>
    <m/>
    <d v="2025-09-09T00:00:00"/>
    <x v="0"/>
    <x v="0"/>
    <s v="QR Code"/>
    <s v="Émargée"/>
    <x v="188"/>
    <s v="Stan"/>
    <x v="0"/>
    <x v="186"/>
    <x v="0"/>
  </r>
  <r>
    <m/>
    <d v="2025-09-09T00:00:00"/>
    <x v="0"/>
    <x v="0"/>
    <s v="QR Code"/>
    <s v="Émargée"/>
    <x v="189"/>
    <s v="Alice"/>
    <x v="0"/>
    <x v="187"/>
    <x v="0"/>
  </r>
  <r>
    <m/>
    <d v="2025-09-09T00:00:00"/>
    <x v="0"/>
    <x v="0"/>
    <s v="QR Code"/>
    <s v="Émargée"/>
    <x v="190"/>
    <s v="Célestin"/>
    <x v="0"/>
    <x v="188"/>
    <x v="0"/>
  </r>
  <r>
    <m/>
    <d v="2025-09-08T00:00:00"/>
    <x v="4"/>
    <x v="4"/>
    <s v="QR Code"/>
    <s v="Émargée"/>
    <x v="94"/>
    <s v="Nils"/>
    <x v="4"/>
    <x v="93"/>
    <x v="0"/>
  </r>
  <r>
    <m/>
    <d v="2025-09-08T00:00:00"/>
    <x v="1"/>
    <x v="1"/>
    <s v="QR Code"/>
    <s v="Émargée"/>
    <x v="94"/>
    <s v="Nils"/>
    <x v="1"/>
    <x v="93"/>
    <x v="0"/>
  </r>
  <r>
    <m/>
    <d v="2025-09-08T00:00:00"/>
    <x v="2"/>
    <x v="2"/>
    <s v="QR Code"/>
    <s v="Émargée"/>
    <x v="94"/>
    <s v="Nils"/>
    <x v="2"/>
    <x v="93"/>
    <x v="0"/>
  </r>
  <r>
    <m/>
    <d v="2025-09-08T00:00:00"/>
    <x v="3"/>
    <x v="3"/>
    <s v="QR Code"/>
    <s v="Émargée"/>
    <x v="94"/>
    <s v="Nils"/>
    <x v="3"/>
    <x v="93"/>
    <x v="0"/>
  </r>
  <r>
    <m/>
    <d v="2025-09-09T00:00:00"/>
    <x v="0"/>
    <x v="0"/>
    <s v="QR Code"/>
    <s v="Émargée"/>
    <x v="191"/>
    <s v="Afonso"/>
    <x v="0"/>
    <x v="189"/>
    <x v="1"/>
  </r>
  <r>
    <m/>
    <d v="2025-09-09T00:00:00"/>
    <x v="0"/>
    <x v="0"/>
    <s v="QR Code"/>
    <s v="Émargée"/>
    <x v="192"/>
    <s v="Matéo"/>
    <x v="0"/>
    <x v="190"/>
    <x v="1"/>
  </r>
  <r>
    <m/>
    <d v="2025-09-08T00:00:00"/>
    <x v="4"/>
    <x v="4"/>
    <s v="QR Code"/>
    <s v="Émargée"/>
    <x v="95"/>
    <s v="Ninon"/>
    <x v="4"/>
    <x v="94"/>
    <x v="0"/>
  </r>
  <r>
    <m/>
    <d v="2025-09-08T00:00:00"/>
    <x v="1"/>
    <x v="1"/>
    <s v="QR Code"/>
    <s v="Émargée"/>
    <x v="95"/>
    <s v="Ninon"/>
    <x v="1"/>
    <x v="94"/>
    <x v="0"/>
  </r>
  <r>
    <m/>
    <d v="2025-09-08T00:00:00"/>
    <x v="2"/>
    <x v="2"/>
    <s v="QR Code"/>
    <s v="Émargée"/>
    <x v="95"/>
    <s v="Ninon"/>
    <x v="2"/>
    <x v="94"/>
    <x v="0"/>
  </r>
  <r>
    <m/>
    <d v="2025-09-08T00:00:00"/>
    <x v="3"/>
    <x v="3"/>
    <s v="QR Code"/>
    <s v="Émargée"/>
    <x v="95"/>
    <s v="Ninon"/>
    <x v="3"/>
    <x v="94"/>
    <x v="0"/>
  </r>
  <r>
    <m/>
    <d v="2025-09-09T00:00:00"/>
    <x v="0"/>
    <x v="0"/>
    <s v="QR Code"/>
    <s v="Émargée"/>
    <x v="193"/>
    <s v="Ivan"/>
    <x v="0"/>
    <x v="191"/>
    <x v="0"/>
  </r>
  <r>
    <m/>
    <d v="2025-09-09T00:00:00"/>
    <x v="0"/>
    <x v="0"/>
    <s v="QR Code"/>
    <s v="Émargée"/>
    <x v="194"/>
    <s v="Marius"/>
    <x v="0"/>
    <x v="192"/>
    <x v="0"/>
  </r>
  <r>
    <m/>
    <d v="2025-09-08T00:00:00"/>
    <x v="4"/>
    <x v="4"/>
    <s v="QR Code"/>
    <s v="Émargée"/>
    <x v="96"/>
    <s v="Sacha"/>
    <x v="4"/>
    <x v="95"/>
    <x v="0"/>
  </r>
  <r>
    <m/>
    <d v="2025-09-08T00:00:00"/>
    <x v="1"/>
    <x v="1"/>
    <s v="QR Code"/>
    <s v="Émargée"/>
    <x v="96"/>
    <s v="Sacha"/>
    <x v="1"/>
    <x v="95"/>
    <x v="0"/>
  </r>
  <r>
    <m/>
    <d v="2025-09-08T00:00:00"/>
    <x v="2"/>
    <x v="2"/>
    <s v="QR Code"/>
    <s v="Émargée"/>
    <x v="96"/>
    <s v="Sacha"/>
    <x v="2"/>
    <x v="95"/>
    <x v="0"/>
  </r>
  <r>
    <m/>
    <d v="2025-09-08T00:00:00"/>
    <x v="3"/>
    <x v="3"/>
    <s v="QR Code"/>
    <s v="Émargée"/>
    <x v="96"/>
    <s v="Sacha"/>
    <x v="3"/>
    <x v="95"/>
    <x v="0"/>
  </r>
  <r>
    <m/>
    <d v="2025-09-09T00:00:00"/>
    <x v="0"/>
    <x v="0"/>
    <s v="QR Code"/>
    <s v="Émargée"/>
    <x v="195"/>
    <s v="Camille"/>
    <x v="0"/>
    <x v="193"/>
    <x v="1"/>
  </r>
  <r>
    <m/>
    <d v="2025-09-09T00:00:00"/>
    <x v="0"/>
    <x v="0"/>
    <s v="QR Code"/>
    <s v="Émargée"/>
    <x v="196"/>
    <s v="Guillaume"/>
    <x v="0"/>
    <x v="194"/>
    <x v="0"/>
  </r>
  <r>
    <m/>
    <d v="2025-09-08T00:00:00"/>
    <x v="4"/>
    <x v="4"/>
    <s v="QR Code"/>
    <s v="Émargée"/>
    <x v="97"/>
    <s v="Noémie"/>
    <x v="4"/>
    <x v="96"/>
    <x v="0"/>
  </r>
  <r>
    <m/>
    <d v="2025-09-08T00:00:00"/>
    <x v="1"/>
    <x v="1"/>
    <s v="QR Code"/>
    <s v="Émargée"/>
    <x v="97"/>
    <s v="Noémie"/>
    <x v="1"/>
    <x v="96"/>
    <x v="0"/>
  </r>
  <r>
    <m/>
    <d v="2025-09-08T00:00:00"/>
    <x v="2"/>
    <x v="2"/>
    <s v="QR Code"/>
    <s v="Émargée"/>
    <x v="97"/>
    <s v="Noémie"/>
    <x v="2"/>
    <x v="96"/>
    <x v="0"/>
  </r>
  <r>
    <m/>
    <d v="2025-09-08T00:00:00"/>
    <x v="3"/>
    <x v="3"/>
    <s v="QR Code"/>
    <s v="Émargée"/>
    <x v="97"/>
    <s v="Noémie"/>
    <x v="3"/>
    <x v="96"/>
    <x v="0"/>
  </r>
  <r>
    <m/>
    <d v="2025-09-09T00:00:00"/>
    <x v="0"/>
    <x v="0"/>
    <s v="QR Code"/>
    <s v="Émargée"/>
    <x v="197"/>
    <s v="Louise"/>
    <x v="0"/>
    <x v="195"/>
    <x v="0"/>
  </r>
  <r>
    <m/>
    <d v="2025-09-09T00:00:00"/>
    <x v="0"/>
    <x v="0"/>
    <s v="QR Code"/>
    <s v="Émargée"/>
    <x v="198"/>
    <s v="Héloïse"/>
    <x v="0"/>
    <x v="196"/>
    <x v="1"/>
  </r>
  <r>
    <m/>
    <d v="2025-09-08T00:00:00"/>
    <x v="4"/>
    <x v="4"/>
    <s v="QR Code"/>
    <s v="Émargée"/>
    <x v="98"/>
    <s v="Dimitri"/>
    <x v="4"/>
    <x v="97"/>
    <x v="1"/>
  </r>
  <r>
    <m/>
    <d v="2025-09-08T00:00:00"/>
    <x v="1"/>
    <x v="1"/>
    <s v="QR Code"/>
    <s v="Émargée"/>
    <x v="98"/>
    <s v="Dimitri"/>
    <x v="1"/>
    <x v="97"/>
    <x v="1"/>
  </r>
  <r>
    <m/>
    <d v="2025-09-08T00:00:00"/>
    <x v="2"/>
    <x v="2"/>
    <s v="QR Code"/>
    <s v="Émargée"/>
    <x v="98"/>
    <s v="Dimitri"/>
    <x v="2"/>
    <x v="97"/>
    <x v="1"/>
  </r>
  <r>
    <m/>
    <d v="2025-09-08T00:00:00"/>
    <x v="3"/>
    <x v="3"/>
    <s v="QR Code"/>
    <s v="Émargée"/>
    <x v="98"/>
    <s v="Dimitri"/>
    <x v="3"/>
    <x v="97"/>
    <x v="1"/>
  </r>
  <r>
    <m/>
    <d v="2025-09-09T00:00:00"/>
    <x v="0"/>
    <x v="0"/>
    <s v="QR Code"/>
    <s v="Émargée"/>
    <x v="199"/>
    <s v="Mattéo"/>
    <x v="0"/>
    <x v="197"/>
    <x v="1"/>
  </r>
  <r>
    <m/>
    <d v="2025-09-09T00:00:00"/>
    <x v="0"/>
    <x v="0"/>
    <s v="QR Code"/>
    <s v="Émargée"/>
    <x v="200"/>
    <s v="David"/>
    <x v="0"/>
    <x v="198"/>
    <x v="0"/>
  </r>
  <r>
    <m/>
    <d v="2025-09-08T00:00:00"/>
    <x v="4"/>
    <x v="4"/>
    <s v="QR Code"/>
    <s v="Émargée"/>
    <x v="99"/>
    <s v="Maelys"/>
    <x v="4"/>
    <x v="98"/>
    <x v="0"/>
  </r>
  <r>
    <m/>
    <d v="2025-09-08T00:00:00"/>
    <x v="1"/>
    <x v="1"/>
    <s v="QR Code"/>
    <s v="Émargée"/>
    <x v="99"/>
    <s v="Maelys"/>
    <x v="1"/>
    <x v="98"/>
    <x v="0"/>
  </r>
  <r>
    <m/>
    <d v="2025-09-08T00:00:00"/>
    <x v="2"/>
    <x v="2"/>
    <s v="QR Code"/>
    <s v="Émargée"/>
    <x v="99"/>
    <s v="Maelys"/>
    <x v="2"/>
    <x v="98"/>
    <x v="0"/>
  </r>
  <r>
    <m/>
    <d v="2025-09-08T00:00:00"/>
    <x v="3"/>
    <x v="3"/>
    <s v="QR Code"/>
    <s v="Émargée"/>
    <x v="99"/>
    <s v="Maelys"/>
    <x v="3"/>
    <x v="98"/>
    <x v="0"/>
  </r>
  <r>
    <m/>
    <d v="2025-09-09T00:00:00"/>
    <x v="0"/>
    <x v="0"/>
    <s v="QR Code"/>
    <s v="Émargée"/>
    <x v="201"/>
    <s v="Gwenaël"/>
    <x v="0"/>
    <x v="199"/>
    <x v="0"/>
  </r>
  <r>
    <m/>
    <d v="2025-09-09T00:00:00"/>
    <x v="0"/>
    <x v="0"/>
    <s v="QR Code"/>
    <s v="Émargée"/>
    <x v="202"/>
    <s v="Tomas"/>
    <x v="0"/>
    <x v="200"/>
    <x v="0"/>
  </r>
  <r>
    <m/>
    <d v="2025-09-08T00:00:00"/>
    <x v="4"/>
    <x v="4"/>
    <s v="QR Code"/>
    <s v="Émargée"/>
    <x v="100"/>
    <s v="Louis"/>
    <x v="4"/>
    <x v="99"/>
    <x v="0"/>
  </r>
  <r>
    <m/>
    <d v="2025-09-08T00:00:00"/>
    <x v="1"/>
    <x v="1"/>
    <s v="QR Code"/>
    <s v="Émargée"/>
    <x v="100"/>
    <s v="Louis"/>
    <x v="1"/>
    <x v="99"/>
    <x v="0"/>
  </r>
  <r>
    <m/>
    <d v="2025-09-08T00:00:00"/>
    <x v="2"/>
    <x v="2"/>
    <s v="QR Code"/>
    <s v="Émargée"/>
    <x v="100"/>
    <s v="Louis"/>
    <x v="2"/>
    <x v="99"/>
    <x v="0"/>
  </r>
  <r>
    <m/>
    <d v="2025-09-08T00:00:00"/>
    <x v="3"/>
    <x v="3"/>
    <s v="QR Code"/>
    <s v="Émargée"/>
    <x v="100"/>
    <s v="Louis"/>
    <x v="3"/>
    <x v="99"/>
    <x v="0"/>
  </r>
  <r>
    <m/>
    <d v="2025-09-09T00:00:00"/>
    <x v="0"/>
    <x v="0"/>
    <s v="QR Code"/>
    <s v="Émargée"/>
    <x v="203"/>
    <s v="Lyuwa"/>
    <x v="0"/>
    <x v="201"/>
    <x v="0"/>
  </r>
  <r>
    <m/>
    <d v="2025-09-09T00:00:00"/>
    <x v="0"/>
    <x v="0"/>
    <s v="QR Code"/>
    <s v="Émargée"/>
    <x v="204"/>
    <s v="Sesshu"/>
    <x v="0"/>
    <x v="202"/>
    <x v="0"/>
  </r>
  <r>
    <m/>
    <d v="2025-09-08T00:00:00"/>
    <x v="4"/>
    <x v="4"/>
    <s v="QR Code"/>
    <s v="Émargée"/>
    <x v="101"/>
    <s v="Sarah"/>
    <x v="4"/>
    <x v="100"/>
    <x v="0"/>
  </r>
  <r>
    <m/>
    <d v="2025-09-08T00:00:00"/>
    <x v="1"/>
    <x v="1"/>
    <s v="QR Code"/>
    <s v="Émargée"/>
    <x v="101"/>
    <s v="Sarah"/>
    <x v="1"/>
    <x v="100"/>
    <x v="0"/>
  </r>
  <r>
    <m/>
    <d v="2025-09-08T00:00:00"/>
    <x v="2"/>
    <x v="2"/>
    <s v="QR Code"/>
    <s v="Émargée"/>
    <x v="101"/>
    <s v="Sarah"/>
    <x v="2"/>
    <x v="100"/>
    <x v="0"/>
  </r>
  <r>
    <m/>
    <d v="2025-09-08T00:00:00"/>
    <x v="3"/>
    <x v="3"/>
    <s v="QR Code"/>
    <s v="Émargée"/>
    <x v="101"/>
    <s v="Sarah"/>
    <x v="3"/>
    <x v="100"/>
    <x v="0"/>
  </r>
  <r>
    <m/>
    <d v="2025-09-09T00:00:00"/>
    <x v="0"/>
    <x v="0"/>
    <s v="QR Code"/>
    <s v="Émargée"/>
    <x v="205"/>
    <s v="Haoting"/>
    <x v="0"/>
    <x v="203"/>
    <x v="0"/>
  </r>
  <r>
    <m/>
    <d v="2025-09-09T00:00:00"/>
    <x v="0"/>
    <x v="0"/>
    <s v="QR Code"/>
    <s v="Émargée"/>
    <x v="206"/>
    <s v="Seongwon"/>
    <x v="0"/>
    <x v="204"/>
    <x v="0"/>
  </r>
  <r>
    <m/>
    <d v="2025-09-08T00:00:00"/>
    <x v="4"/>
    <x v="4"/>
    <s v="QR Code"/>
    <s v="Émargée"/>
    <x v="102"/>
    <s v="Robin"/>
    <x v="4"/>
    <x v="101"/>
    <x v="0"/>
  </r>
  <r>
    <m/>
    <d v="2025-09-08T00:00:00"/>
    <x v="1"/>
    <x v="1"/>
    <s v="QR Code"/>
    <s v="Émargée"/>
    <x v="102"/>
    <s v="Robin"/>
    <x v="1"/>
    <x v="101"/>
    <x v="0"/>
  </r>
  <r>
    <m/>
    <d v="2025-09-08T00:00:00"/>
    <x v="2"/>
    <x v="2"/>
    <s v="QR Code"/>
    <s v="Émargée"/>
    <x v="102"/>
    <s v="Robin"/>
    <x v="2"/>
    <x v="101"/>
    <x v="0"/>
  </r>
  <r>
    <m/>
    <d v="2025-09-08T00:00:00"/>
    <x v="3"/>
    <x v="3"/>
    <s v="QR Code"/>
    <s v="Émargée"/>
    <x v="102"/>
    <s v="Robin"/>
    <x v="3"/>
    <x v="101"/>
    <x v="0"/>
  </r>
  <r>
    <m/>
    <d v="2025-09-09T00:00:00"/>
    <x v="0"/>
    <x v="0"/>
    <s v="QR Code"/>
    <s v="Émargée"/>
    <x v="207"/>
    <s v="Ilan"/>
    <x v="0"/>
    <x v="205"/>
    <x v="1"/>
  </r>
  <r>
    <m/>
    <d v="2025-09-09T00:00:00"/>
    <x v="0"/>
    <x v="0"/>
    <s v="QR Code"/>
    <s v="Émargée"/>
    <x v="208"/>
    <s v="Enzo"/>
    <x v="0"/>
    <x v="206"/>
    <x v="1"/>
  </r>
  <r>
    <m/>
    <d v="2025-09-08T00:00:00"/>
    <x v="4"/>
    <x v="4"/>
    <s v="QR Code"/>
    <s v="Émargée"/>
    <x v="103"/>
    <s v="Romane"/>
    <x v="4"/>
    <x v="102"/>
    <x v="0"/>
  </r>
  <r>
    <m/>
    <d v="2025-09-08T00:00:00"/>
    <x v="1"/>
    <x v="1"/>
    <s v="QR Code"/>
    <s v="Émargée"/>
    <x v="103"/>
    <s v="Romane"/>
    <x v="1"/>
    <x v="102"/>
    <x v="0"/>
  </r>
  <r>
    <m/>
    <d v="2025-09-08T00:00:00"/>
    <x v="2"/>
    <x v="2"/>
    <s v="QR Code"/>
    <s v="Émargée"/>
    <x v="103"/>
    <s v="Romane"/>
    <x v="2"/>
    <x v="102"/>
    <x v="0"/>
  </r>
  <r>
    <m/>
    <d v="2025-09-08T00:00:00"/>
    <x v="3"/>
    <x v="3"/>
    <s v="QR Code"/>
    <s v="Émargée"/>
    <x v="103"/>
    <s v="Romane"/>
    <x v="3"/>
    <x v="102"/>
    <x v="0"/>
  </r>
  <r>
    <m/>
    <d v="2025-09-09T00:00:00"/>
    <x v="5"/>
    <x v="2"/>
    <s v="QR Code"/>
    <s v="Émargée"/>
    <x v="0"/>
    <s v="Pierre Louis"/>
    <x v="5"/>
    <x v="0"/>
    <x v="0"/>
  </r>
  <r>
    <m/>
    <d v="2025-09-09T00:00:00"/>
    <x v="5"/>
    <x v="2"/>
    <s v="QR Code"/>
    <s v="Émargée"/>
    <x v="1"/>
    <s v="Tristan"/>
    <x v="5"/>
    <x v="1"/>
    <x v="0"/>
  </r>
  <r>
    <m/>
    <d v="2025-09-08T00:00:00"/>
    <x v="4"/>
    <x v="4"/>
    <s v="QR Code"/>
    <s v="Émargée"/>
    <x v="104"/>
    <s v="Théo"/>
    <x v="4"/>
    <x v="103"/>
    <x v="0"/>
  </r>
  <r>
    <m/>
    <d v="2025-09-08T00:00:00"/>
    <x v="1"/>
    <x v="1"/>
    <s v="QR Code"/>
    <s v="Émargée"/>
    <x v="104"/>
    <s v="Théo"/>
    <x v="1"/>
    <x v="103"/>
    <x v="0"/>
  </r>
  <r>
    <m/>
    <d v="2025-09-08T00:00:00"/>
    <x v="2"/>
    <x v="2"/>
    <s v="QR Code"/>
    <s v="Émargée"/>
    <x v="104"/>
    <s v="Théo"/>
    <x v="2"/>
    <x v="103"/>
    <x v="0"/>
  </r>
  <r>
    <m/>
    <d v="2025-09-08T00:00:00"/>
    <x v="3"/>
    <x v="3"/>
    <s v="QR Code"/>
    <s v="Émargée"/>
    <x v="104"/>
    <s v="Théo"/>
    <x v="3"/>
    <x v="103"/>
    <x v="0"/>
  </r>
  <r>
    <m/>
    <d v="2025-09-09T00:00:00"/>
    <x v="5"/>
    <x v="2"/>
    <s v="QR Code"/>
    <s v="Émargée"/>
    <x v="2"/>
    <s v="Yui"/>
    <x v="5"/>
    <x v="2"/>
    <x v="0"/>
  </r>
  <r>
    <m/>
    <d v="2025-09-09T00:00:00"/>
    <x v="5"/>
    <x v="2"/>
    <s v="QR Code"/>
    <s v="Émargée"/>
    <x v="3"/>
    <s v="Vincent"/>
    <x v="5"/>
    <x v="3"/>
    <x v="0"/>
  </r>
  <r>
    <m/>
    <d v="2025-09-08T00:00:00"/>
    <x v="4"/>
    <x v="4"/>
    <s v="QR Code"/>
    <s v="Émargée"/>
    <x v="105"/>
    <s v="Jean-Baptiste"/>
    <x v="4"/>
    <x v="104"/>
    <x v="0"/>
  </r>
  <r>
    <m/>
    <d v="2025-09-08T00:00:00"/>
    <x v="1"/>
    <x v="1"/>
    <s v="QR Code"/>
    <s v="Émargée"/>
    <x v="105"/>
    <s v="Jean-Baptiste"/>
    <x v="1"/>
    <x v="104"/>
    <x v="0"/>
  </r>
  <r>
    <m/>
    <d v="2025-09-08T00:00:00"/>
    <x v="2"/>
    <x v="2"/>
    <s v="QR Code"/>
    <s v="Émargée"/>
    <x v="105"/>
    <s v="Jean-Baptiste"/>
    <x v="2"/>
    <x v="104"/>
    <x v="0"/>
  </r>
  <r>
    <m/>
    <d v="2025-09-08T00:00:00"/>
    <x v="3"/>
    <x v="3"/>
    <s v="QR Code"/>
    <s v="Émargée"/>
    <x v="105"/>
    <s v="Jean-Baptiste"/>
    <x v="3"/>
    <x v="104"/>
    <x v="0"/>
  </r>
  <r>
    <m/>
    <d v="2025-09-09T00:00:00"/>
    <x v="5"/>
    <x v="2"/>
    <s v="QR Code"/>
    <s v="Émargée"/>
    <x v="4"/>
    <s v="Noam, Sofiane, Milo"/>
    <x v="5"/>
    <x v="4"/>
    <x v="0"/>
  </r>
  <r>
    <m/>
    <d v="2025-09-09T00:00:00"/>
    <x v="5"/>
    <x v="2"/>
    <s v="QR Code"/>
    <s v="Émargée"/>
    <x v="5"/>
    <s v="Mélissa"/>
    <x v="5"/>
    <x v="5"/>
    <x v="0"/>
  </r>
  <r>
    <m/>
    <d v="2025-09-08T00:00:00"/>
    <x v="4"/>
    <x v="4"/>
    <s v="QR Code"/>
    <s v="Émargée"/>
    <x v="106"/>
    <s v="Lior"/>
    <x v="4"/>
    <x v="105"/>
    <x v="0"/>
  </r>
  <r>
    <m/>
    <d v="2025-09-08T00:00:00"/>
    <x v="1"/>
    <x v="1"/>
    <s v="QR Code"/>
    <s v="Émargée"/>
    <x v="106"/>
    <s v="Lior"/>
    <x v="1"/>
    <x v="105"/>
    <x v="0"/>
  </r>
  <r>
    <m/>
    <d v="2025-09-08T00:00:00"/>
    <x v="2"/>
    <x v="2"/>
    <s v="QR Code"/>
    <s v="Émargée"/>
    <x v="106"/>
    <s v="Lior"/>
    <x v="2"/>
    <x v="105"/>
    <x v="0"/>
  </r>
  <r>
    <m/>
    <d v="2025-09-08T00:00:00"/>
    <x v="3"/>
    <x v="3"/>
    <s v="QR Code"/>
    <s v="Émargée"/>
    <x v="106"/>
    <s v="Lior"/>
    <x v="3"/>
    <x v="105"/>
    <x v="0"/>
  </r>
  <r>
    <m/>
    <d v="2025-09-09T00:00:00"/>
    <x v="5"/>
    <x v="2"/>
    <s v="QR Code"/>
    <s v="Émargée"/>
    <x v="6"/>
    <s v="Solal"/>
    <x v="5"/>
    <x v="6"/>
    <x v="0"/>
  </r>
  <r>
    <m/>
    <d v="2025-09-09T00:00:00"/>
    <x v="5"/>
    <x v="2"/>
    <s v="QR Code"/>
    <s v="Émargée"/>
    <x v="7"/>
    <s v="Madeleine"/>
    <x v="5"/>
    <x v="7"/>
    <x v="1"/>
  </r>
  <r>
    <m/>
    <d v="2025-09-08T00:00:00"/>
    <x v="4"/>
    <x v="4"/>
    <s v="QR Code"/>
    <s v="Émargée"/>
    <x v="107"/>
    <s v="Elvire"/>
    <x v="4"/>
    <x v="106"/>
    <x v="0"/>
  </r>
  <r>
    <m/>
    <d v="2025-09-08T00:00:00"/>
    <x v="1"/>
    <x v="1"/>
    <s v="QR Code"/>
    <s v="Émargée"/>
    <x v="107"/>
    <s v="Elvire"/>
    <x v="1"/>
    <x v="106"/>
    <x v="0"/>
  </r>
  <r>
    <m/>
    <d v="2025-09-08T00:00:00"/>
    <x v="2"/>
    <x v="2"/>
    <s v="QR Code"/>
    <s v="Émargée"/>
    <x v="107"/>
    <s v="Elvire"/>
    <x v="2"/>
    <x v="106"/>
    <x v="0"/>
  </r>
  <r>
    <m/>
    <d v="2025-09-08T00:00:00"/>
    <x v="3"/>
    <x v="3"/>
    <s v="QR Code"/>
    <s v="Émargée"/>
    <x v="107"/>
    <s v="Elvire"/>
    <x v="3"/>
    <x v="106"/>
    <x v="0"/>
  </r>
  <r>
    <m/>
    <d v="2025-09-09T00:00:00"/>
    <x v="5"/>
    <x v="2"/>
    <s v="QR Code"/>
    <s v="Émargée"/>
    <x v="8"/>
    <s v="Timothée"/>
    <x v="5"/>
    <x v="8"/>
    <x v="0"/>
  </r>
  <r>
    <m/>
    <d v="2025-09-09T00:00:00"/>
    <x v="5"/>
    <x v="2"/>
    <s v="QR Code"/>
    <s v="Émargée"/>
    <x v="9"/>
    <s v="Garance"/>
    <x v="5"/>
    <x v="9"/>
    <x v="0"/>
  </r>
  <r>
    <m/>
    <d v="2025-09-08T00:00:00"/>
    <x v="4"/>
    <x v="4"/>
    <s v="QR Code"/>
    <s v="Émargée"/>
    <x v="108"/>
    <s v="Yaokun"/>
    <x v="4"/>
    <x v="107"/>
    <x v="0"/>
  </r>
  <r>
    <m/>
    <d v="2025-09-08T00:00:00"/>
    <x v="1"/>
    <x v="1"/>
    <s v="QR Code"/>
    <s v="Émargée"/>
    <x v="108"/>
    <s v="Yaokun"/>
    <x v="1"/>
    <x v="107"/>
    <x v="0"/>
  </r>
  <r>
    <m/>
    <d v="2025-09-08T00:00:00"/>
    <x v="2"/>
    <x v="2"/>
    <s v="QR Code"/>
    <s v="Émargée"/>
    <x v="108"/>
    <s v="Yaokun"/>
    <x v="2"/>
    <x v="107"/>
    <x v="0"/>
  </r>
  <r>
    <m/>
    <d v="2025-09-08T00:00:00"/>
    <x v="3"/>
    <x v="3"/>
    <s v="QR Code"/>
    <s v="Émargée"/>
    <x v="108"/>
    <s v="Yaokun"/>
    <x v="3"/>
    <x v="107"/>
    <x v="0"/>
  </r>
  <r>
    <m/>
    <d v="2025-09-09T00:00:00"/>
    <x v="5"/>
    <x v="2"/>
    <s v="QR Code"/>
    <s v="Émargée"/>
    <x v="10"/>
    <s v="Juliette"/>
    <x v="5"/>
    <x v="10"/>
    <x v="0"/>
  </r>
  <r>
    <m/>
    <d v="2025-09-09T00:00:00"/>
    <x v="5"/>
    <x v="2"/>
    <s v="QR Code"/>
    <s v="Émargée"/>
    <x v="11"/>
    <s v="Jean-Baptiste"/>
    <x v="5"/>
    <x v="11"/>
    <x v="0"/>
  </r>
  <r>
    <m/>
    <d v="2025-09-08T00:00:00"/>
    <x v="4"/>
    <x v="4"/>
    <s v="QR Code"/>
    <s v="Émargée"/>
    <x v="109"/>
    <s v="Skylar"/>
    <x v="4"/>
    <x v="108"/>
    <x v="0"/>
  </r>
  <r>
    <m/>
    <d v="2025-09-08T00:00:00"/>
    <x v="1"/>
    <x v="1"/>
    <s v="QR Code"/>
    <s v="Émargée"/>
    <x v="109"/>
    <s v="Skylar"/>
    <x v="1"/>
    <x v="108"/>
    <x v="0"/>
  </r>
  <r>
    <m/>
    <d v="2025-09-08T00:00:00"/>
    <x v="2"/>
    <x v="2"/>
    <s v="QR Code"/>
    <s v="Émargée"/>
    <x v="109"/>
    <s v="Skylar"/>
    <x v="2"/>
    <x v="108"/>
    <x v="0"/>
  </r>
  <r>
    <m/>
    <d v="2025-09-08T00:00:00"/>
    <x v="3"/>
    <x v="3"/>
    <s v="QR Code"/>
    <s v="Émargée"/>
    <x v="109"/>
    <s v="Skylar"/>
    <x v="3"/>
    <x v="108"/>
    <x v="0"/>
  </r>
  <r>
    <m/>
    <d v="2025-09-09T00:00:00"/>
    <x v="5"/>
    <x v="2"/>
    <s v="QR Code"/>
    <s v="Émargée"/>
    <x v="12"/>
    <s v="Lucas"/>
    <x v="5"/>
    <x v="12"/>
    <x v="0"/>
  </r>
  <r>
    <m/>
    <d v="2025-09-09T00:00:00"/>
    <x v="5"/>
    <x v="2"/>
    <s v="QR Code"/>
    <s v="Émargée"/>
    <x v="13"/>
    <s v="Antonin"/>
    <x v="5"/>
    <x v="13"/>
    <x v="0"/>
  </r>
  <r>
    <m/>
    <d v="2025-09-08T00:00:00"/>
    <x v="4"/>
    <x v="4"/>
    <s v="QR Code"/>
    <s v="Émargée"/>
    <x v="110"/>
    <s v="Liza"/>
    <x v="4"/>
    <x v="109"/>
    <x v="0"/>
  </r>
  <r>
    <m/>
    <d v="2025-09-08T00:00:00"/>
    <x v="1"/>
    <x v="1"/>
    <s v="QR Code"/>
    <s v="Émargée"/>
    <x v="110"/>
    <s v="Liza"/>
    <x v="1"/>
    <x v="109"/>
    <x v="0"/>
  </r>
  <r>
    <m/>
    <d v="2025-09-08T00:00:00"/>
    <x v="2"/>
    <x v="2"/>
    <s v="QR Code"/>
    <s v="Émargée"/>
    <x v="110"/>
    <s v="Liza"/>
    <x v="2"/>
    <x v="109"/>
    <x v="0"/>
  </r>
  <r>
    <m/>
    <d v="2025-09-08T00:00:00"/>
    <x v="3"/>
    <x v="3"/>
    <s v="QR Code"/>
    <s v="Émargée"/>
    <x v="110"/>
    <s v="Liza"/>
    <x v="3"/>
    <x v="109"/>
    <x v="0"/>
  </r>
  <r>
    <m/>
    <d v="2025-09-09T00:00:00"/>
    <x v="5"/>
    <x v="2"/>
    <s v="QR Code"/>
    <s v="Émargée"/>
    <x v="14"/>
    <s v="Manuela"/>
    <x v="5"/>
    <x v="14"/>
    <x v="0"/>
  </r>
  <r>
    <m/>
    <d v="2025-09-09T00:00:00"/>
    <x v="5"/>
    <x v="2"/>
    <s v="QR Code"/>
    <s v="Émargée"/>
    <x v="15"/>
    <s v="Alphonse"/>
    <x v="5"/>
    <x v="15"/>
    <x v="0"/>
  </r>
  <r>
    <m/>
    <d v="2025-09-08T00:00:00"/>
    <x v="4"/>
    <x v="4"/>
    <s v="QR Code"/>
    <s v="Émargée"/>
    <x v="111"/>
    <s v="Zhiqian"/>
    <x v="4"/>
    <x v="110"/>
    <x v="0"/>
  </r>
  <r>
    <m/>
    <d v="2025-09-08T00:00:00"/>
    <x v="1"/>
    <x v="1"/>
    <s v="QR Code"/>
    <s v="Émargée"/>
    <x v="111"/>
    <s v="Zhiqian"/>
    <x v="1"/>
    <x v="110"/>
    <x v="0"/>
  </r>
  <r>
    <m/>
    <d v="2025-09-08T00:00:00"/>
    <x v="2"/>
    <x v="2"/>
    <s v="QR Code"/>
    <s v="Émargée"/>
    <x v="111"/>
    <s v="Zhiqian"/>
    <x v="2"/>
    <x v="110"/>
    <x v="0"/>
  </r>
  <r>
    <m/>
    <d v="2025-09-08T00:00:00"/>
    <x v="3"/>
    <x v="3"/>
    <s v="QR Code"/>
    <s v="Émargée"/>
    <x v="111"/>
    <s v="Zhiqian"/>
    <x v="3"/>
    <x v="110"/>
    <x v="0"/>
  </r>
  <r>
    <m/>
    <d v="2025-09-09T00:00:00"/>
    <x v="5"/>
    <x v="2"/>
    <s v="QR Code"/>
    <s v="Émargée"/>
    <x v="16"/>
    <s v="Louis"/>
    <x v="5"/>
    <x v="16"/>
    <x v="0"/>
  </r>
  <r>
    <m/>
    <d v="2025-09-09T00:00:00"/>
    <x v="5"/>
    <x v="2"/>
    <s v="QR Code"/>
    <s v="Émargée"/>
    <x v="17"/>
    <s v="Martin"/>
    <x v="5"/>
    <x v="17"/>
    <x v="0"/>
  </r>
  <r>
    <m/>
    <d v="2025-09-08T00:00:00"/>
    <x v="1"/>
    <x v="1"/>
    <s v="QR Code"/>
    <s v="Émargée"/>
    <x v="112"/>
    <s v="Esther"/>
    <x v="1"/>
    <x v="111"/>
    <x v="1"/>
  </r>
  <r>
    <m/>
    <d v="2025-09-08T00:00:00"/>
    <x v="2"/>
    <x v="2"/>
    <s v="QR Code"/>
    <s v="Émargée"/>
    <x v="112"/>
    <s v="Esther"/>
    <x v="2"/>
    <x v="111"/>
    <x v="1"/>
  </r>
  <r>
    <m/>
    <d v="2025-09-08T00:00:00"/>
    <x v="3"/>
    <x v="3"/>
    <s v="QR Code"/>
    <s v="Émargée"/>
    <x v="112"/>
    <s v="Esther"/>
    <x v="3"/>
    <x v="111"/>
    <x v="0"/>
  </r>
  <r>
    <m/>
    <d v="2025-09-09T00:00:00"/>
    <x v="5"/>
    <x v="2"/>
    <s v="QR Code"/>
    <s v="Émargée"/>
    <x v="18"/>
    <s v="Albert"/>
    <x v="5"/>
    <x v="18"/>
    <x v="1"/>
  </r>
  <r>
    <m/>
    <d v="2025-09-09T00:00:00"/>
    <x v="5"/>
    <x v="2"/>
    <s v="QR Code"/>
    <s v="Émargée"/>
    <x v="19"/>
    <s v="Derek"/>
    <x v="5"/>
    <x v="19"/>
    <x v="0"/>
  </r>
  <r>
    <m/>
    <d v="2025-09-08T00:00:00"/>
    <x v="4"/>
    <x v="4"/>
    <s v="QR Code"/>
    <s v="Émargée"/>
    <x v="113"/>
    <s v="Adélaïde"/>
    <x v="4"/>
    <x v="112"/>
    <x v="0"/>
  </r>
  <r>
    <m/>
    <d v="2025-09-08T00:00:00"/>
    <x v="1"/>
    <x v="1"/>
    <s v="QR Code"/>
    <s v="Émargée"/>
    <x v="113"/>
    <s v="Adélaïde"/>
    <x v="1"/>
    <x v="112"/>
    <x v="0"/>
  </r>
  <r>
    <m/>
    <d v="2025-09-08T00:00:00"/>
    <x v="2"/>
    <x v="2"/>
    <s v="QR Code"/>
    <s v="Émargée"/>
    <x v="113"/>
    <s v="Adélaïde"/>
    <x v="2"/>
    <x v="112"/>
    <x v="0"/>
  </r>
  <r>
    <m/>
    <d v="2025-09-08T00:00:00"/>
    <x v="3"/>
    <x v="3"/>
    <s v="QR Code"/>
    <s v="Émargée"/>
    <x v="113"/>
    <s v="Adélaïde"/>
    <x v="3"/>
    <x v="112"/>
    <x v="0"/>
  </r>
  <r>
    <m/>
    <d v="2025-09-09T00:00:00"/>
    <x v="5"/>
    <x v="2"/>
    <s v="QR Code"/>
    <s v="Émargée"/>
    <x v="20"/>
    <s v="Lucas"/>
    <x v="5"/>
    <x v="20"/>
    <x v="0"/>
  </r>
  <r>
    <m/>
    <d v="2025-09-09T00:00:00"/>
    <x v="5"/>
    <x v="2"/>
    <s v="QR Code"/>
    <s v="Émargée"/>
    <x v="21"/>
    <s v="Clément"/>
    <x v="5"/>
    <x v="21"/>
    <x v="0"/>
  </r>
  <r>
    <m/>
    <d v="2025-09-08T00:00:00"/>
    <x v="4"/>
    <x v="4"/>
    <s v="QR Code"/>
    <s v="Émargée"/>
    <x v="114"/>
    <s v="Milo"/>
    <x v="4"/>
    <x v="113"/>
    <x v="0"/>
  </r>
  <r>
    <m/>
    <d v="2025-09-08T00:00:00"/>
    <x v="1"/>
    <x v="1"/>
    <s v="QR Code"/>
    <s v="Émargée"/>
    <x v="114"/>
    <s v="Milo"/>
    <x v="1"/>
    <x v="113"/>
    <x v="0"/>
  </r>
  <r>
    <m/>
    <d v="2025-09-08T00:00:00"/>
    <x v="2"/>
    <x v="2"/>
    <s v="QR Code"/>
    <s v="Émargée"/>
    <x v="114"/>
    <s v="Milo"/>
    <x v="2"/>
    <x v="113"/>
    <x v="0"/>
  </r>
  <r>
    <m/>
    <d v="2025-09-08T00:00:00"/>
    <x v="3"/>
    <x v="3"/>
    <s v="QR Code"/>
    <s v="Émargée"/>
    <x v="114"/>
    <s v="Milo"/>
    <x v="3"/>
    <x v="113"/>
    <x v="0"/>
  </r>
  <r>
    <m/>
    <d v="2025-09-09T00:00:00"/>
    <x v="5"/>
    <x v="2"/>
    <s v="QR Code"/>
    <s v="Émargée"/>
    <x v="22"/>
    <s v="Diego"/>
    <x v="5"/>
    <x v="22"/>
    <x v="1"/>
  </r>
  <r>
    <m/>
    <d v="2025-09-09T00:00:00"/>
    <x v="5"/>
    <x v="2"/>
    <s v="QR Code"/>
    <s v="Émargée"/>
    <x v="23"/>
    <s v="Félix"/>
    <x v="5"/>
    <x v="23"/>
    <x v="0"/>
  </r>
  <r>
    <m/>
    <d v="2025-09-08T00:00:00"/>
    <x v="4"/>
    <x v="4"/>
    <s v="QR Code"/>
    <s v="Émargée"/>
    <x v="115"/>
    <s v="Fanny"/>
    <x v="4"/>
    <x v="114"/>
    <x v="1"/>
  </r>
  <r>
    <m/>
    <d v="2025-09-08T00:00:00"/>
    <x v="1"/>
    <x v="1"/>
    <s v="QR Code"/>
    <s v="Émargée"/>
    <x v="115"/>
    <s v="Fanny"/>
    <x v="1"/>
    <x v="114"/>
    <x v="1"/>
  </r>
  <r>
    <m/>
    <d v="2025-09-08T00:00:00"/>
    <x v="2"/>
    <x v="2"/>
    <s v="QR Code"/>
    <s v="Émargée"/>
    <x v="115"/>
    <s v="Fanny"/>
    <x v="2"/>
    <x v="114"/>
    <x v="1"/>
  </r>
  <r>
    <m/>
    <d v="2025-09-08T00:00:00"/>
    <x v="3"/>
    <x v="3"/>
    <s v="QR Code"/>
    <s v="Émargée"/>
    <x v="115"/>
    <s v="Fanny"/>
    <x v="3"/>
    <x v="114"/>
    <x v="1"/>
  </r>
  <r>
    <m/>
    <d v="2025-09-09T00:00:00"/>
    <x v="5"/>
    <x v="2"/>
    <s v="QR Code"/>
    <s v="Émargée"/>
    <x v="24"/>
    <s v="Anaïs"/>
    <x v="5"/>
    <x v="24"/>
    <x v="0"/>
  </r>
  <r>
    <m/>
    <d v="2025-09-09T00:00:00"/>
    <x v="5"/>
    <x v="2"/>
    <s v="QR Code"/>
    <s v="Émargée"/>
    <x v="25"/>
    <s v="Etienne"/>
    <x v="5"/>
    <x v="25"/>
    <x v="1"/>
  </r>
  <r>
    <m/>
    <d v="2025-09-08T00:00:00"/>
    <x v="4"/>
    <x v="4"/>
    <s v="QR Code"/>
    <s v="Émargée"/>
    <x v="116"/>
    <s v="Lauriane"/>
    <x v="4"/>
    <x v="115"/>
    <x v="1"/>
  </r>
  <r>
    <m/>
    <d v="2025-09-08T00:00:00"/>
    <x v="1"/>
    <x v="1"/>
    <s v="QR Code"/>
    <s v="Émargée"/>
    <x v="116"/>
    <s v="Lauriane"/>
    <x v="1"/>
    <x v="115"/>
    <x v="1"/>
  </r>
  <r>
    <m/>
    <d v="2025-09-08T00:00:00"/>
    <x v="2"/>
    <x v="2"/>
    <s v="QR Code"/>
    <s v="Émargée"/>
    <x v="116"/>
    <s v="Lauriane"/>
    <x v="2"/>
    <x v="115"/>
    <x v="1"/>
  </r>
  <r>
    <m/>
    <d v="2025-09-08T00:00:00"/>
    <x v="3"/>
    <x v="3"/>
    <s v="QR Code"/>
    <s v="Émargée"/>
    <x v="116"/>
    <s v="Lauriane"/>
    <x v="3"/>
    <x v="115"/>
    <x v="1"/>
  </r>
  <r>
    <m/>
    <d v="2025-09-09T00:00:00"/>
    <x v="5"/>
    <x v="2"/>
    <s v="QR Code"/>
    <s v="Émargée"/>
    <x v="26"/>
    <s v="Fanny"/>
    <x v="5"/>
    <x v="26"/>
    <x v="0"/>
  </r>
  <r>
    <m/>
    <d v="2025-09-09T00:00:00"/>
    <x v="5"/>
    <x v="2"/>
    <s v="QR Code"/>
    <s v="Émargée"/>
    <x v="27"/>
    <s v="Jean"/>
    <x v="5"/>
    <x v="27"/>
    <x v="0"/>
  </r>
  <r>
    <m/>
    <d v="2025-09-08T00:00:00"/>
    <x v="4"/>
    <x v="4"/>
    <s v="QR Code"/>
    <s v="Émargée"/>
    <x v="117"/>
    <s v="Éléonore"/>
    <x v="4"/>
    <x v="116"/>
    <x v="0"/>
  </r>
  <r>
    <m/>
    <d v="2025-09-08T00:00:00"/>
    <x v="1"/>
    <x v="1"/>
    <s v="QR Code"/>
    <s v="Émargée"/>
    <x v="117"/>
    <s v="Éléonore"/>
    <x v="1"/>
    <x v="116"/>
    <x v="0"/>
  </r>
  <r>
    <m/>
    <d v="2025-09-08T00:00:00"/>
    <x v="2"/>
    <x v="2"/>
    <s v="QR Code"/>
    <s v="Émargée"/>
    <x v="117"/>
    <s v="Éléonore"/>
    <x v="2"/>
    <x v="116"/>
    <x v="0"/>
  </r>
  <r>
    <m/>
    <d v="2025-09-09T00:00:00"/>
    <x v="5"/>
    <x v="2"/>
    <s v="QR Code"/>
    <s v="Émargée"/>
    <x v="28"/>
    <s v="Jonas"/>
    <x v="5"/>
    <x v="28"/>
    <x v="0"/>
  </r>
  <r>
    <m/>
    <d v="2025-09-09T00:00:00"/>
    <x v="5"/>
    <x v="2"/>
    <s v="QR Code"/>
    <s v="Émargée"/>
    <x v="29"/>
    <s v="Victor"/>
    <x v="5"/>
    <x v="29"/>
    <x v="0"/>
  </r>
  <r>
    <m/>
    <d v="2025-09-08T00:00:00"/>
    <x v="4"/>
    <x v="4"/>
    <s v="QR Code"/>
    <s v="Émargée"/>
    <x v="118"/>
    <s v="Coralie"/>
    <x v="4"/>
    <x v="117"/>
    <x v="0"/>
  </r>
  <r>
    <m/>
    <d v="2025-09-08T00:00:00"/>
    <x v="1"/>
    <x v="1"/>
    <s v="QR Code"/>
    <s v="Émargée"/>
    <x v="118"/>
    <s v="Coralie"/>
    <x v="1"/>
    <x v="117"/>
    <x v="0"/>
  </r>
  <r>
    <m/>
    <d v="2025-09-08T00:00:00"/>
    <x v="2"/>
    <x v="2"/>
    <s v="QR Code"/>
    <s v="Émargée"/>
    <x v="118"/>
    <s v="Coralie"/>
    <x v="2"/>
    <x v="117"/>
    <x v="0"/>
  </r>
  <r>
    <m/>
    <d v="2025-09-08T00:00:00"/>
    <x v="3"/>
    <x v="3"/>
    <s v="QR Code"/>
    <s v="Émargée"/>
    <x v="118"/>
    <s v="Coralie"/>
    <x v="3"/>
    <x v="117"/>
    <x v="0"/>
  </r>
  <r>
    <m/>
    <d v="2025-09-09T00:00:00"/>
    <x v="5"/>
    <x v="2"/>
    <s v="QR Code"/>
    <s v="Émargée"/>
    <x v="30"/>
    <s v="Louise"/>
    <x v="5"/>
    <x v="30"/>
    <x v="1"/>
  </r>
  <r>
    <m/>
    <d v="2025-09-09T00:00:00"/>
    <x v="5"/>
    <x v="2"/>
    <s v="QR Code"/>
    <s v="Émargée"/>
    <x v="31"/>
    <s v="Dylan"/>
    <x v="5"/>
    <x v="31"/>
    <x v="0"/>
  </r>
  <r>
    <m/>
    <d v="2025-09-08T00:00:00"/>
    <x v="4"/>
    <x v="4"/>
    <s v="QR Code"/>
    <s v="Émargée"/>
    <x v="119"/>
    <s v="Marie-Aude"/>
    <x v="4"/>
    <x v="118"/>
    <x v="1"/>
  </r>
  <r>
    <m/>
    <d v="2025-09-08T00:00:00"/>
    <x v="1"/>
    <x v="1"/>
    <s v="QR Code"/>
    <s v="Émargée"/>
    <x v="119"/>
    <s v="Marie-Aude"/>
    <x v="1"/>
    <x v="118"/>
    <x v="1"/>
  </r>
  <r>
    <m/>
    <d v="2025-09-08T00:00:00"/>
    <x v="2"/>
    <x v="2"/>
    <s v="QR Code"/>
    <s v="Émargée"/>
    <x v="119"/>
    <s v="Marie-Aude"/>
    <x v="2"/>
    <x v="118"/>
    <x v="1"/>
  </r>
  <r>
    <m/>
    <d v="2025-09-08T00:00:00"/>
    <x v="3"/>
    <x v="3"/>
    <s v="QR Code"/>
    <s v="Émargée"/>
    <x v="119"/>
    <s v="Marie-Aude"/>
    <x v="3"/>
    <x v="118"/>
    <x v="1"/>
  </r>
  <r>
    <m/>
    <d v="2025-09-09T00:00:00"/>
    <x v="5"/>
    <x v="2"/>
    <s v="QR Code"/>
    <s v="Émargée"/>
    <x v="32"/>
    <s v="Antonin"/>
    <x v="5"/>
    <x v="32"/>
    <x v="0"/>
  </r>
  <r>
    <m/>
    <d v="2025-09-09T00:00:00"/>
    <x v="5"/>
    <x v="2"/>
    <s v="QR Code"/>
    <s v="Émargée"/>
    <x v="33"/>
    <s v="Shaïna"/>
    <x v="5"/>
    <x v="33"/>
    <x v="0"/>
  </r>
  <r>
    <m/>
    <d v="2025-09-08T00:00:00"/>
    <x v="4"/>
    <x v="4"/>
    <s v="QR Code"/>
    <s v="Émargée"/>
    <x v="120"/>
    <s v="Léo"/>
    <x v="4"/>
    <x v="119"/>
    <x v="0"/>
  </r>
  <r>
    <m/>
    <d v="2025-09-08T00:00:00"/>
    <x v="1"/>
    <x v="1"/>
    <s v="QR Code"/>
    <s v="Émargée"/>
    <x v="120"/>
    <s v="Léo"/>
    <x v="1"/>
    <x v="119"/>
    <x v="0"/>
  </r>
  <r>
    <m/>
    <d v="2025-09-08T00:00:00"/>
    <x v="2"/>
    <x v="2"/>
    <s v="QR Code"/>
    <s v="Émargée"/>
    <x v="120"/>
    <s v="Léo"/>
    <x v="2"/>
    <x v="119"/>
    <x v="0"/>
  </r>
  <r>
    <m/>
    <d v="2025-09-08T00:00:00"/>
    <x v="3"/>
    <x v="3"/>
    <s v="QR Code"/>
    <s v="Émargée"/>
    <x v="120"/>
    <s v="Léo"/>
    <x v="3"/>
    <x v="119"/>
    <x v="0"/>
  </r>
  <r>
    <m/>
    <d v="2025-09-09T00:00:00"/>
    <x v="5"/>
    <x v="2"/>
    <s v="QR Code"/>
    <s v="Émargée"/>
    <x v="34"/>
    <s v="Raphaël"/>
    <x v="5"/>
    <x v="34"/>
    <x v="0"/>
  </r>
  <r>
    <m/>
    <d v="2025-09-09T00:00:00"/>
    <x v="5"/>
    <x v="2"/>
    <s v="QR Code"/>
    <s v="Émargée"/>
    <x v="35"/>
    <s v="Virgile"/>
    <x v="5"/>
    <x v="35"/>
    <x v="0"/>
  </r>
  <r>
    <m/>
    <d v="2025-09-08T00:00:00"/>
    <x v="4"/>
    <x v="4"/>
    <s v="QR Code"/>
    <s v="Émargée"/>
    <x v="121"/>
    <s v="Naïs"/>
    <x v="4"/>
    <x v="120"/>
    <x v="0"/>
  </r>
  <r>
    <m/>
    <d v="2025-09-08T00:00:00"/>
    <x v="1"/>
    <x v="1"/>
    <s v="QR Code"/>
    <s v="Émargée"/>
    <x v="121"/>
    <s v="Naïs"/>
    <x v="1"/>
    <x v="120"/>
    <x v="0"/>
  </r>
  <r>
    <m/>
    <d v="2025-09-08T00:00:00"/>
    <x v="2"/>
    <x v="2"/>
    <s v="QR Code"/>
    <s v="Émargée"/>
    <x v="121"/>
    <s v="Naïs"/>
    <x v="2"/>
    <x v="120"/>
    <x v="0"/>
  </r>
  <r>
    <m/>
    <d v="2025-09-08T00:00:00"/>
    <x v="3"/>
    <x v="3"/>
    <s v="QR Code"/>
    <s v="Émargée"/>
    <x v="121"/>
    <s v="Naïs"/>
    <x v="3"/>
    <x v="120"/>
    <x v="0"/>
  </r>
  <r>
    <m/>
    <d v="2025-09-09T00:00:00"/>
    <x v="5"/>
    <x v="2"/>
    <s v="QR Code"/>
    <s v="Émargée"/>
    <x v="36"/>
    <s v="Elisa"/>
    <x v="5"/>
    <x v="36"/>
    <x v="1"/>
  </r>
  <r>
    <m/>
    <d v="2025-09-09T00:00:00"/>
    <x v="5"/>
    <x v="2"/>
    <s v="QR Code"/>
    <s v="Émargée"/>
    <x v="37"/>
    <s v="Christiana"/>
    <x v="5"/>
    <x v="37"/>
    <x v="0"/>
  </r>
  <r>
    <m/>
    <d v="2025-09-08T00:00:00"/>
    <x v="1"/>
    <x v="1"/>
    <s v="QR Code"/>
    <s v="Émargée"/>
    <x v="122"/>
    <s v="Maël"/>
    <x v="1"/>
    <x v="121"/>
    <x v="1"/>
  </r>
  <r>
    <m/>
    <d v="2025-09-08T00:00:00"/>
    <x v="2"/>
    <x v="2"/>
    <s v="QR Code"/>
    <s v="Émargée"/>
    <x v="122"/>
    <s v="Maël"/>
    <x v="2"/>
    <x v="121"/>
    <x v="1"/>
  </r>
  <r>
    <m/>
    <d v="2025-09-08T00:00:00"/>
    <x v="3"/>
    <x v="3"/>
    <s v="QR Code"/>
    <s v="Émargée"/>
    <x v="122"/>
    <s v="Maël"/>
    <x v="3"/>
    <x v="121"/>
    <x v="1"/>
  </r>
  <r>
    <m/>
    <d v="2025-09-09T00:00:00"/>
    <x v="5"/>
    <x v="2"/>
    <s v="QR Code"/>
    <s v="Émargée"/>
    <x v="38"/>
    <s v="Filip"/>
    <x v="5"/>
    <x v="38"/>
    <x v="0"/>
  </r>
  <r>
    <m/>
    <d v="2025-09-09T00:00:00"/>
    <x v="5"/>
    <x v="2"/>
    <s v="QR Code"/>
    <s v="Émargée"/>
    <x v="39"/>
    <s v="Oihan"/>
    <x v="5"/>
    <x v="39"/>
    <x v="0"/>
  </r>
  <r>
    <m/>
    <d v="2025-09-08T00:00:00"/>
    <x v="4"/>
    <x v="4"/>
    <s v="QR Code"/>
    <s v="Émargée"/>
    <x v="123"/>
    <s v="Joffrey"/>
    <x v="4"/>
    <x v="122"/>
    <x v="1"/>
  </r>
  <r>
    <m/>
    <d v="2025-09-08T00:00:00"/>
    <x v="1"/>
    <x v="1"/>
    <s v="QR Code"/>
    <s v="Émargée"/>
    <x v="123"/>
    <s v="Joffrey"/>
    <x v="1"/>
    <x v="122"/>
    <x v="1"/>
  </r>
  <r>
    <m/>
    <d v="2025-09-08T00:00:00"/>
    <x v="2"/>
    <x v="2"/>
    <s v="QR Code"/>
    <s v="Émargée"/>
    <x v="123"/>
    <s v="Joffrey"/>
    <x v="2"/>
    <x v="122"/>
    <x v="1"/>
  </r>
  <r>
    <m/>
    <d v="2025-09-08T00:00:00"/>
    <x v="3"/>
    <x v="3"/>
    <s v="QR Code"/>
    <s v="Émargée"/>
    <x v="123"/>
    <s v="Joffrey"/>
    <x v="3"/>
    <x v="122"/>
    <x v="1"/>
  </r>
  <r>
    <m/>
    <d v="2025-09-09T00:00:00"/>
    <x v="5"/>
    <x v="2"/>
    <s v="QR Code"/>
    <s v="Émargée"/>
    <x v="40"/>
    <s v="Aloïs"/>
    <x v="5"/>
    <x v="40"/>
    <x v="0"/>
  </r>
  <r>
    <m/>
    <d v="2025-09-09T00:00:00"/>
    <x v="5"/>
    <x v="2"/>
    <s v="QR Code"/>
    <s v="Émargée"/>
    <x v="41"/>
    <s v="Rose"/>
    <x v="5"/>
    <x v="41"/>
    <x v="1"/>
  </r>
  <r>
    <m/>
    <d v="2025-09-08T00:00:00"/>
    <x v="4"/>
    <x v="4"/>
    <s v="QR Code"/>
    <s v="Émargée"/>
    <x v="124"/>
    <s v="Salvatore"/>
    <x v="4"/>
    <x v="123"/>
    <x v="0"/>
  </r>
  <r>
    <m/>
    <d v="2025-09-08T00:00:00"/>
    <x v="1"/>
    <x v="1"/>
    <s v="QR Code"/>
    <s v="Émargée"/>
    <x v="124"/>
    <s v="Salvatore"/>
    <x v="1"/>
    <x v="123"/>
    <x v="0"/>
  </r>
  <r>
    <m/>
    <d v="2025-09-08T00:00:00"/>
    <x v="2"/>
    <x v="2"/>
    <s v="QR Code"/>
    <s v="Émargée"/>
    <x v="124"/>
    <s v="Salvatore"/>
    <x v="2"/>
    <x v="123"/>
    <x v="0"/>
  </r>
  <r>
    <m/>
    <d v="2025-09-08T00:00:00"/>
    <x v="3"/>
    <x v="3"/>
    <s v="QR Code"/>
    <s v="Émargée"/>
    <x v="124"/>
    <s v="Salvatore"/>
    <x v="3"/>
    <x v="123"/>
    <x v="0"/>
  </r>
  <r>
    <m/>
    <d v="2025-09-09T00:00:00"/>
    <x v="5"/>
    <x v="2"/>
    <s v="QR Code"/>
    <s v="Émargée"/>
    <x v="42"/>
    <s v="Guillaume"/>
    <x v="5"/>
    <x v="42"/>
    <x v="0"/>
  </r>
  <r>
    <m/>
    <d v="2025-09-09T00:00:00"/>
    <x v="5"/>
    <x v="2"/>
    <s v="QR Code"/>
    <s v="Émargée"/>
    <x v="43"/>
    <s v="Antoine"/>
    <x v="5"/>
    <x v="43"/>
    <x v="0"/>
  </r>
  <r>
    <m/>
    <d v="2025-09-08T00:00:00"/>
    <x v="4"/>
    <x v="4"/>
    <s v="QR Code"/>
    <s v="Émargée"/>
    <x v="125"/>
    <s v="Mélodie"/>
    <x v="4"/>
    <x v="124"/>
    <x v="1"/>
  </r>
  <r>
    <m/>
    <d v="2025-09-08T00:00:00"/>
    <x v="1"/>
    <x v="1"/>
    <s v="QR Code"/>
    <s v="Émargée"/>
    <x v="125"/>
    <s v="Mélodie"/>
    <x v="1"/>
    <x v="124"/>
    <x v="1"/>
  </r>
  <r>
    <m/>
    <d v="2025-09-08T00:00:00"/>
    <x v="2"/>
    <x v="2"/>
    <s v="QR Code"/>
    <s v="Émargée"/>
    <x v="125"/>
    <s v="Mélodie"/>
    <x v="2"/>
    <x v="124"/>
    <x v="1"/>
  </r>
  <r>
    <m/>
    <d v="2025-09-08T00:00:00"/>
    <x v="3"/>
    <x v="3"/>
    <s v="QR Code"/>
    <s v="Émargée"/>
    <x v="125"/>
    <s v="Mélodie"/>
    <x v="3"/>
    <x v="124"/>
    <x v="1"/>
  </r>
  <r>
    <m/>
    <d v="2025-09-09T00:00:00"/>
    <x v="5"/>
    <x v="2"/>
    <s v="QR Code"/>
    <s v="Émargée"/>
    <x v="44"/>
    <s v="Florian"/>
    <x v="5"/>
    <x v="44"/>
    <x v="1"/>
  </r>
  <r>
    <m/>
    <d v="2025-09-09T00:00:00"/>
    <x v="5"/>
    <x v="2"/>
    <s v="QR Code"/>
    <s v="Émargée"/>
    <x v="89"/>
    <s v="Victor"/>
    <x v="5"/>
    <x v="89"/>
    <x v="0"/>
  </r>
  <r>
    <m/>
    <d v="2025-09-08T00:00:00"/>
    <x v="4"/>
    <x v="4"/>
    <s v="QR Code"/>
    <s v="Émargée"/>
    <x v="126"/>
    <s v="Léo"/>
    <x v="4"/>
    <x v="125"/>
    <x v="1"/>
  </r>
  <r>
    <m/>
    <d v="2025-09-08T00:00:00"/>
    <x v="1"/>
    <x v="1"/>
    <s v="QR Code"/>
    <s v="Émargée"/>
    <x v="126"/>
    <s v="Léo"/>
    <x v="1"/>
    <x v="125"/>
    <x v="1"/>
  </r>
  <r>
    <m/>
    <d v="2025-09-08T00:00:00"/>
    <x v="2"/>
    <x v="2"/>
    <s v="QR Code"/>
    <s v="Émargée"/>
    <x v="126"/>
    <s v="Léo"/>
    <x v="2"/>
    <x v="125"/>
    <x v="1"/>
  </r>
  <r>
    <m/>
    <d v="2025-09-08T00:00:00"/>
    <x v="3"/>
    <x v="3"/>
    <s v="QR Code"/>
    <s v="Émargée"/>
    <x v="126"/>
    <s v="Léo"/>
    <x v="3"/>
    <x v="125"/>
    <x v="1"/>
  </r>
  <r>
    <m/>
    <d v="2025-09-09T00:00:00"/>
    <x v="5"/>
    <x v="2"/>
    <s v="QR Code"/>
    <s v="Émargée"/>
    <x v="45"/>
    <s v="Allan"/>
    <x v="5"/>
    <x v="45"/>
    <x v="0"/>
  </r>
  <r>
    <m/>
    <d v="2025-09-09T00:00:00"/>
    <x v="5"/>
    <x v="2"/>
    <s v="QR Code"/>
    <s v="Émargée"/>
    <x v="46"/>
    <s v="Nadja"/>
    <x v="5"/>
    <x v="46"/>
    <x v="1"/>
  </r>
  <r>
    <m/>
    <d v="2025-09-08T00:00:00"/>
    <x v="1"/>
    <x v="1"/>
    <s v="QR Code"/>
    <s v="Émargée"/>
    <x v="127"/>
    <s v="Mariam"/>
    <x v="1"/>
    <x v="126"/>
    <x v="1"/>
  </r>
  <r>
    <m/>
    <d v="2025-09-08T00:00:00"/>
    <x v="2"/>
    <x v="2"/>
    <s v="QR Code"/>
    <s v="Émargée"/>
    <x v="127"/>
    <s v="Mariam"/>
    <x v="2"/>
    <x v="126"/>
    <x v="1"/>
  </r>
  <r>
    <m/>
    <d v="2025-09-08T00:00:00"/>
    <x v="3"/>
    <x v="3"/>
    <s v="QR Code"/>
    <s v="Émargée"/>
    <x v="127"/>
    <s v="Mariam"/>
    <x v="3"/>
    <x v="126"/>
    <x v="1"/>
  </r>
  <r>
    <m/>
    <d v="2025-09-09T00:00:00"/>
    <x v="5"/>
    <x v="2"/>
    <s v="QR Code"/>
    <s v="Émargée"/>
    <x v="47"/>
    <s v="Elisabeth"/>
    <x v="5"/>
    <x v="47"/>
    <x v="1"/>
  </r>
  <r>
    <m/>
    <d v="2025-09-09T00:00:00"/>
    <x v="5"/>
    <x v="2"/>
    <s v="QR Code"/>
    <s v="Émargée"/>
    <x v="48"/>
    <s v="Jules"/>
    <x v="5"/>
    <x v="48"/>
    <x v="0"/>
  </r>
  <r>
    <m/>
    <d v="2025-09-08T00:00:00"/>
    <x v="4"/>
    <x v="4"/>
    <s v="QR Code"/>
    <s v="Émargée"/>
    <x v="128"/>
    <s v="Alan"/>
    <x v="4"/>
    <x v="127"/>
    <x v="0"/>
  </r>
  <r>
    <m/>
    <d v="2025-09-08T00:00:00"/>
    <x v="1"/>
    <x v="1"/>
    <s v="QR Code"/>
    <s v="Émargée"/>
    <x v="128"/>
    <s v="Alan"/>
    <x v="1"/>
    <x v="127"/>
    <x v="0"/>
  </r>
  <r>
    <m/>
    <d v="2025-09-08T00:00:00"/>
    <x v="2"/>
    <x v="2"/>
    <s v="QR Code"/>
    <s v="Émargée"/>
    <x v="128"/>
    <s v="Alan"/>
    <x v="2"/>
    <x v="127"/>
    <x v="0"/>
  </r>
  <r>
    <m/>
    <d v="2025-09-08T00:00:00"/>
    <x v="3"/>
    <x v="3"/>
    <s v="QR Code"/>
    <s v="Émargée"/>
    <x v="128"/>
    <s v="Alan"/>
    <x v="3"/>
    <x v="127"/>
    <x v="0"/>
  </r>
  <r>
    <m/>
    <d v="2025-09-09T00:00:00"/>
    <x v="5"/>
    <x v="2"/>
    <s v="QR Code"/>
    <s v="Émargée"/>
    <x v="49"/>
    <s v="Jingrun"/>
    <x v="5"/>
    <x v="49"/>
    <x v="0"/>
  </r>
  <r>
    <m/>
    <d v="2025-09-09T00:00:00"/>
    <x v="5"/>
    <x v="2"/>
    <s v="QR Code"/>
    <s v="Émargée"/>
    <x v="50"/>
    <s v="Noam"/>
    <x v="5"/>
    <x v="50"/>
    <x v="0"/>
  </r>
  <r>
    <m/>
    <d v="2025-09-08T00:00:00"/>
    <x v="4"/>
    <x v="4"/>
    <s v="QR Code"/>
    <s v="Émargée"/>
    <x v="129"/>
    <s v="Félicien"/>
    <x v="4"/>
    <x v="128"/>
    <x v="0"/>
  </r>
  <r>
    <m/>
    <d v="2025-09-08T00:00:00"/>
    <x v="1"/>
    <x v="1"/>
    <s v="QR Code"/>
    <s v="Émargée"/>
    <x v="129"/>
    <s v="Félicien"/>
    <x v="1"/>
    <x v="128"/>
    <x v="0"/>
  </r>
  <r>
    <m/>
    <d v="2025-09-08T00:00:00"/>
    <x v="2"/>
    <x v="2"/>
    <s v="QR Code"/>
    <s v="Émargée"/>
    <x v="129"/>
    <s v="Félicien"/>
    <x v="2"/>
    <x v="128"/>
    <x v="0"/>
  </r>
  <r>
    <m/>
    <d v="2025-09-08T00:00:00"/>
    <x v="3"/>
    <x v="3"/>
    <s v="QR Code"/>
    <s v="Émargée"/>
    <x v="129"/>
    <s v="Félicien"/>
    <x v="3"/>
    <x v="128"/>
    <x v="0"/>
  </r>
  <r>
    <m/>
    <d v="2025-09-09T00:00:00"/>
    <x v="5"/>
    <x v="2"/>
    <s v="QR Code"/>
    <s v="Émargée"/>
    <x v="51"/>
    <s v="Lou Anne"/>
    <x v="5"/>
    <x v="51"/>
    <x v="1"/>
  </r>
  <r>
    <m/>
    <d v="2025-09-09T00:00:00"/>
    <x v="5"/>
    <x v="2"/>
    <s v="QR Code"/>
    <s v="Émargée"/>
    <x v="52"/>
    <s v="Aseman"/>
    <x v="5"/>
    <x v="52"/>
    <x v="0"/>
  </r>
  <r>
    <m/>
    <d v="2025-09-08T00:00:00"/>
    <x v="4"/>
    <x v="4"/>
    <s v="QR Code"/>
    <s v="Émargée"/>
    <x v="130"/>
    <s v="Arcadi"/>
    <x v="4"/>
    <x v="129"/>
    <x v="0"/>
  </r>
  <r>
    <m/>
    <d v="2025-09-08T00:00:00"/>
    <x v="1"/>
    <x v="1"/>
    <s v="QR Code"/>
    <s v="Émargée"/>
    <x v="130"/>
    <s v="Arcadi"/>
    <x v="1"/>
    <x v="129"/>
    <x v="0"/>
  </r>
  <r>
    <m/>
    <d v="2025-09-08T00:00:00"/>
    <x v="2"/>
    <x v="2"/>
    <s v="QR Code"/>
    <s v="Émargée"/>
    <x v="130"/>
    <s v="Arcadi"/>
    <x v="2"/>
    <x v="129"/>
    <x v="0"/>
  </r>
  <r>
    <m/>
    <d v="2025-09-08T00:00:00"/>
    <x v="3"/>
    <x v="3"/>
    <s v="QR Code"/>
    <s v="Émargée"/>
    <x v="130"/>
    <s v="Arcadi"/>
    <x v="3"/>
    <x v="129"/>
    <x v="0"/>
  </r>
  <r>
    <m/>
    <d v="2025-09-09T00:00:00"/>
    <x v="5"/>
    <x v="2"/>
    <s v="QR Code"/>
    <s v="Émargée"/>
    <x v="53"/>
    <s v="Violette"/>
    <x v="5"/>
    <x v="53"/>
    <x v="0"/>
  </r>
  <r>
    <m/>
    <d v="2025-09-09T00:00:00"/>
    <x v="5"/>
    <x v="2"/>
    <s v="QR Code"/>
    <s v="Émargée"/>
    <x v="54"/>
    <s v="Karl"/>
    <x v="5"/>
    <x v="54"/>
    <x v="1"/>
  </r>
  <r>
    <m/>
    <d v="2025-09-08T00:00:00"/>
    <x v="4"/>
    <x v="4"/>
    <s v="QR Code"/>
    <s v="Émargée"/>
    <x v="131"/>
    <s v="Nicolas, Elie"/>
    <x v="4"/>
    <x v="130"/>
    <x v="0"/>
  </r>
  <r>
    <m/>
    <d v="2025-09-08T00:00:00"/>
    <x v="1"/>
    <x v="1"/>
    <s v="QR Code"/>
    <s v="Émargée"/>
    <x v="131"/>
    <s v="Nicolas, Elie"/>
    <x v="1"/>
    <x v="130"/>
    <x v="0"/>
  </r>
  <r>
    <m/>
    <d v="2025-09-08T00:00:00"/>
    <x v="2"/>
    <x v="2"/>
    <s v="QR Code"/>
    <s v="Émargée"/>
    <x v="131"/>
    <s v="Nicolas, Elie"/>
    <x v="2"/>
    <x v="130"/>
    <x v="0"/>
  </r>
  <r>
    <m/>
    <d v="2025-09-08T00:00:00"/>
    <x v="3"/>
    <x v="3"/>
    <s v="QR Code"/>
    <s v="Émargée"/>
    <x v="131"/>
    <s v="Nicolas, Elie"/>
    <x v="3"/>
    <x v="130"/>
    <x v="0"/>
  </r>
  <r>
    <m/>
    <d v="2025-09-09T00:00:00"/>
    <x v="5"/>
    <x v="2"/>
    <s v="QR Code"/>
    <s v="Émargée"/>
    <x v="55"/>
    <s v="Lydie"/>
    <x v="5"/>
    <x v="55"/>
    <x v="0"/>
  </r>
  <r>
    <m/>
    <d v="2025-09-09T00:00:00"/>
    <x v="5"/>
    <x v="2"/>
    <s v="QR Code"/>
    <s v="Émargée"/>
    <x v="56"/>
    <s v="Pierre"/>
    <x v="5"/>
    <x v="56"/>
    <x v="1"/>
  </r>
  <r>
    <m/>
    <d v="2025-09-08T00:00:00"/>
    <x v="4"/>
    <x v="4"/>
    <s v="QR Code"/>
    <s v="Émargée"/>
    <x v="132"/>
    <s v="Pierre"/>
    <x v="4"/>
    <x v="131"/>
    <x v="0"/>
  </r>
  <r>
    <m/>
    <d v="2025-09-08T00:00:00"/>
    <x v="1"/>
    <x v="1"/>
    <s v="QR Code"/>
    <s v="Émargée"/>
    <x v="132"/>
    <s v="Pierre"/>
    <x v="1"/>
    <x v="131"/>
    <x v="0"/>
  </r>
  <r>
    <m/>
    <d v="2025-09-08T00:00:00"/>
    <x v="2"/>
    <x v="2"/>
    <s v="QR Code"/>
    <s v="Émargée"/>
    <x v="132"/>
    <s v="Pierre"/>
    <x v="2"/>
    <x v="131"/>
    <x v="0"/>
  </r>
  <r>
    <m/>
    <d v="2025-09-08T00:00:00"/>
    <x v="3"/>
    <x v="3"/>
    <s v="QR Code"/>
    <s v="Émargée"/>
    <x v="132"/>
    <s v="Pierre"/>
    <x v="3"/>
    <x v="131"/>
    <x v="0"/>
  </r>
  <r>
    <m/>
    <d v="2025-09-09T00:00:00"/>
    <x v="5"/>
    <x v="2"/>
    <s v="QR Code"/>
    <s v="Émargée"/>
    <x v="57"/>
    <s v="Jude"/>
    <x v="5"/>
    <x v="57"/>
    <x v="1"/>
  </r>
  <r>
    <m/>
    <d v="2025-09-09T00:00:00"/>
    <x v="5"/>
    <x v="2"/>
    <s v="QR Code"/>
    <s v="Émargée"/>
    <x v="58"/>
    <s v="Pierre-Emmanuel"/>
    <x v="5"/>
    <x v="58"/>
    <x v="1"/>
  </r>
  <r>
    <m/>
    <d v="2025-09-08T00:00:00"/>
    <x v="4"/>
    <x v="4"/>
    <s v="QR Code"/>
    <s v="Émargée"/>
    <x v="133"/>
    <s v="Killyan"/>
    <x v="4"/>
    <x v="132"/>
    <x v="0"/>
  </r>
  <r>
    <m/>
    <d v="2025-09-08T00:00:00"/>
    <x v="1"/>
    <x v="1"/>
    <s v="QR Code"/>
    <s v="Émargée"/>
    <x v="133"/>
    <s v="Killyan"/>
    <x v="1"/>
    <x v="132"/>
    <x v="0"/>
  </r>
  <r>
    <m/>
    <d v="2025-09-08T00:00:00"/>
    <x v="2"/>
    <x v="2"/>
    <s v="QR Code"/>
    <s v="Émargée"/>
    <x v="133"/>
    <s v="Killyan"/>
    <x v="2"/>
    <x v="132"/>
    <x v="0"/>
  </r>
  <r>
    <m/>
    <d v="2025-09-08T00:00:00"/>
    <x v="3"/>
    <x v="3"/>
    <s v="QR Code"/>
    <s v="Émargée"/>
    <x v="133"/>
    <s v="Killyan"/>
    <x v="3"/>
    <x v="132"/>
    <x v="0"/>
  </r>
  <r>
    <m/>
    <d v="2025-09-09T00:00:00"/>
    <x v="5"/>
    <x v="2"/>
    <s v="QR Code"/>
    <s v="Émargée"/>
    <x v="59"/>
    <s v="Jaume"/>
    <x v="5"/>
    <x v="59"/>
    <x v="1"/>
  </r>
  <r>
    <m/>
    <d v="2025-09-09T00:00:00"/>
    <x v="5"/>
    <x v="2"/>
    <s v="QR Code"/>
    <s v="Émargée"/>
    <x v="60"/>
    <s v="Garance"/>
    <x v="5"/>
    <x v="60"/>
    <x v="0"/>
  </r>
  <r>
    <m/>
    <d v="2025-09-08T00:00:00"/>
    <x v="4"/>
    <x v="4"/>
    <s v="QR Code"/>
    <s v="Émargée"/>
    <x v="134"/>
    <s v="Bilal"/>
    <x v="4"/>
    <x v="133"/>
    <x v="1"/>
  </r>
  <r>
    <m/>
    <d v="2025-09-08T00:00:00"/>
    <x v="1"/>
    <x v="1"/>
    <s v="QR Code"/>
    <s v="Émargée"/>
    <x v="134"/>
    <s v="Bilal"/>
    <x v="1"/>
    <x v="133"/>
    <x v="1"/>
  </r>
  <r>
    <m/>
    <d v="2025-09-08T00:00:00"/>
    <x v="2"/>
    <x v="2"/>
    <s v="QR Code"/>
    <s v="Émargée"/>
    <x v="134"/>
    <s v="Bilal"/>
    <x v="2"/>
    <x v="133"/>
    <x v="1"/>
  </r>
  <r>
    <m/>
    <d v="2025-09-08T00:00:00"/>
    <x v="3"/>
    <x v="3"/>
    <s v="QR Code"/>
    <s v="Émargée"/>
    <x v="134"/>
    <s v="Bilal"/>
    <x v="3"/>
    <x v="133"/>
    <x v="1"/>
  </r>
  <r>
    <m/>
    <d v="2025-09-09T00:00:00"/>
    <x v="5"/>
    <x v="2"/>
    <s v="QR Code"/>
    <s v="Émargée"/>
    <x v="61"/>
    <s v="Victor"/>
    <x v="5"/>
    <x v="61"/>
    <x v="0"/>
  </r>
  <r>
    <m/>
    <d v="2025-09-09T00:00:00"/>
    <x v="5"/>
    <x v="2"/>
    <s v="QR Code"/>
    <s v="Émargée"/>
    <x v="62"/>
    <s v="Adèle, Lili, Violette"/>
    <x v="5"/>
    <x v="62"/>
    <x v="0"/>
  </r>
  <r>
    <m/>
    <d v="2025-09-08T00:00:00"/>
    <x v="4"/>
    <x v="4"/>
    <s v="QR Code"/>
    <s v="Émargée"/>
    <x v="135"/>
    <s v="Meiko"/>
    <x v="4"/>
    <x v="134"/>
    <x v="1"/>
  </r>
  <r>
    <m/>
    <d v="2025-09-08T00:00:00"/>
    <x v="1"/>
    <x v="1"/>
    <s v="QR Code"/>
    <s v="Émargée"/>
    <x v="135"/>
    <s v="Meiko"/>
    <x v="1"/>
    <x v="134"/>
    <x v="1"/>
  </r>
  <r>
    <m/>
    <d v="2025-09-08T00:00:00"/>
    <x v="2"/>
    <x v="2"/>
    <s v="QR Code"/>
    <s v="Émargée"/>
    <x v="135"/>
    <s v="Meiko"/>
    <x v="2"/>
    <x v="134"/>
    <x v="1"/>
  </r>
  <r>
    <m/>
    <d v="2025-09-08T00:00:00"/>
    <x v="3"/>
    <x v="3"/>
    <s v="QR Code"/>
    <s v="Émargée"/>
    <x v="135"/>
    <s v="Meiko"/>
    <x v="3"/>
    <x v="134"/>
    <x v="1"/>
  </r>
  <r>
    <m/>
    <d v="2025-09-09T00:00:00"/>
    <x v="5"/>
    <x v="2"/>
    <s v="QR Code"/>
    <s v="Émargée"/>
    <x v="63"/>
    <s v="Rudy"/>
    <x v="5"/>
    <x v="63"/>
    <x v="1"/>
  </r>
  <r>
    <m/>
    <d v="2025-09-09T00:00:00"/>
    <x v="5"/>
    <x v="2"/>
    <s v="QR Code"/>
    <s v="Émargée"/>
    <x v="64"/>
    <s v="Arthur"/>
    <x v="5"/>
    <x v="64"/>
    <x v="1"/>
  </r>
  <r>
    <m/>
    <d v="2025-09-08T00:00:00"/>
    <x v="4"/>
    <x v="4"/>
    <s v="QR Code"/>
    <s v="Émargée"/>
    <x v="136"/>
    <s v="Abel"/>
    <x v="4"/>
    <x v="135"/>
    <x v="0"/>
  </r>
  <r>
    <m/>
    <d v="2025-09-08T00:00:00"/>
    <x v="1"/>
    <x v="1"/>
    <s v="QR Code"/>
    <s v="Émargée"/>
    <x v="136"/>
    <s v="Abel"/>
    <x v="1"/>
    <x v="135"/>
    <x v="0"/>
  </r>
  <r>
    <m/>
    <d v="2025-09-08T00:00:00"/>
    <x v="2"/>
    <x v="2"/>
    <s v="QR Code"/>
    <s v="Émargée"/>
    <x v="136"/>
    <s v="Abel"/>
    <x v="2"/>
    <x v="135"/>
    <x v="0"/>
  </r>
  <r>
    <m/>
    <d v="2025-09-08T00:00:00"/>
    <x v="3"/>
    <x v="3"/>
    <s v="QR Code"/>
    <s v="Émargée"/>
    <x v="136"/>
    <s v="Abel"/>
    <x v="3"/>
    <x v="135"/>
    <x v="0"/>
  </r>
  <r>
    <m/>
    <d v="2025-09-09T00:00:00"/>
    <x v="5"/>
    <x v="2"/>
    <s v="QR Code"/>
    <s v="Émargée"/>
    <x v="65"/>
    <s v="Paul"/>
    <x v="5"/>
    <x v="65"/>
    <x v="0"/>
  </r>
  <r>
    <m/>
    <d v="2025-09-09T00:00:00"/>
    <x v="5"/>
    <x v="2"/>
    <s v="QR Code"/>
    <s v="Émargée"/>
    <x v="66"/>
    <s v="Zéphyr"/>
    <x v="5"/>
    <x v="66"/>
    <x v="0"/>
  </r>
  <r>
    <m/>
    <d v="2025-09-09T00:00:00"/>
    <x v="5"/>
    <x v="2"/>
    <s v="QR Code"/>
    <s v="Émargée"/>
    <x v="67"/>
    <s v="Yuko"/>
    <x v="5"/>
    <x v="67"/>
    <x v="0"/>
  </r>
  <r>
    <m/>
    <d v="2025-09-08T00:00:00"/>
    <x v="4"/>
    <x v="4"/>
    <s v="QR Code"/>
    <s v="Émargée"/>
    <x v="137"/>
    <s v="Geoffrey"/>
    <x v="4"/>
    <x v="136"/>
    <x v="0"/>
  </r>
  <r>
    <m/>
    <d v="2025-09-08T00:00:00"/>
    <x v="4"/>
    <x v="4"/>
    <s v="QR Code"/>
    <s v="Émargée"/>
    <x v="138"/>
    <s v="Kim-Hac-Tram"/>
    <x v="4"/>
    <x v="136"/>
    <x v="0"/>
  </r>
  <r>
    <m/>
    <d v="2025-09-08T00:00:00"/>
    <x v="1"/>
    <x v="1"/>
    <s v="QR Code"/>
    <s v="Émargée"/>
    <x v="137"/>
    <s v="Geoffrey"/>
    <x v="1"/>
    <x v="136"/>
    <x v="0"/>
  </r>
  <r>
    <m/>
    <d v="2025-09-08T00:00:00"/>
    <x v="1"/>
    <x v="1"/>
    <s v="QR Code"/>
    <s v="Émargée"/>
    <x v="138"/>
    <s v="Kim-Hac-Tram"/>
    <x v="1"/>
    <x v="136"/>
    <x v="0"/>
  </r>
  <r>
    <m/>
    <d v="2025-09-08T00:00:00"/>
    <x v="2"/>
    <x v="2"/>
    <s v="QR Code"/>
    <s v="Émargée"/>
    <x v="137"/>
    <s v="Geoffrey"/>
    <x v="2"/>
    <x v="136"/>
    <x v="0"/>
  </r>
  <r>
    <m/>
    <d v="2025-09-08T00:00:00"/>
    <x v="2"/>
    <x v="2"/>
    <s v="QR Code"/>
    <s v="Émargée"/>
    <x v="138"/>
    <s v="Kim-Hac-Tram"/>
    <x v="2"/>
    <x v="136"/>
    <x v="0"/>
  </r>
  <r>
    <m/>
    <d v="2025-09-08T00:00:00"/>
    <x v="3"/>
    <x v="3"/>
    <s v="QR Code"/>
    <s v="Émargée"/>
    <x v="138"/>
    <s v="Kim-Hac-Tram"/>
    <x v="3"/>
    <x v="136"/>
    <x v="0"/>
  </r>
  <r>
    <m/>
    <d v="2025-09-08T00:00:00"/>
    <x v="3"/>
    <x v="3"/>
    <s v="QR Code"/>
    <s v="Émargée"/>
    <x v="137"/>
    <s v="Geoffrey"/>
    <x v="3"/>
    <x v="136"/>
    <x v="0"/>
  </r>
  <r>
    <m/>
    <d v="2025-09-09T00:00:00"/>
    <x v="5"/>
    <x v="2"/>
    <s v="QR Code"/>
    <s v="Émargée"/>
    <x v="68"/>
    <s v="Odile"/>
    <x v="5"/>
    <x v="68"/>
    <x v="0"/>
  </r>
  <r>
    <m/>
    <d v="2025-09-09T00:00:00"/>
    <x v="5"/>
    <x v="2"/>
    <s v="QR Code"/>
    <s v="Émargée"/>
    <x v="69"/>
    <s v="Eliane"/>
    <x v="5"/>
    <x v="69"/>
    <x v="1"/>
  </r>
  <r>
    <m/>
    <d v="2025-09-09T00:00:00"/>
    <x v="5"/>
    <x v="2"/>
    <s v="QR Code"/>
    <s v="Émargée"/>
    <x v="70"/>
    <s v="Raphaël"/>
    <x v="5"/>
    <x v="70"/>
    <x v="0"/>
  </r>
  <r>
    <m/>
    <d v="2025-09-08T00:00:00"/>
    <x v="4"/>
    <x v="4"/>
    <s v="QR Code"/>
    <s v="Émargée"/>
    <x v="139"/>
    <s v="Rébecca"/>
    <x v="4"/>
    <x v="137"/>
    <x v="1"/>
  </r>
  <r>
    <m/>
    <d v="2025-09-08T00:00:00"/>
    <x v="1"/>
    <x v="1"/>
    <s v="QR Code"/>
    <s v="Émargée"/>
    <x v="139"/>
    <s v="Rébecca"/>
    <x v="1"/>
    <x v="137"/>
    <x v="1"/>
  </r>
  <r>
    <m/>
    <d v="2025-09-08T00:00:00"/>
    <x v="2"/>
    <x v="2"/>
    <s v="QR Code"/>
    <s v="Émargée"/>
    <x v="139"/>
    <s v="Rébecca"/>
    <x v="2"/>
    <x v="137"/>
    <x v="1"/>
  </r>
  <r>
    <m/>
    <d v="2025-09-08T00:00:00"/>
    <x v="3"/>
    <x v="3"/>
    <s v="QR Code"/>
    <s v="Émargée"/>
    <x v="139"/>
    <s v="Rébecca"/>
    <x v="3"/>
    <x v="137"/>
    <x v="1"/>
  </r>
  <r>
    <m/>
    <d v="2025-09-09T00:00:00"/>
    <x v="5"/>
    <x v="2"/>
    <s v="QR Code"/>
    <s v="Émargée"/>
    <x v="71"/>
    <s v="Loris Valentino"/>
    <x v="5"/>
    <x v="71"/>
    <x v="0"/>
  </r>
  <r>
    <m/>
    <d v="2025-09-09T00:00:00"/>
    <x v="5"/>
    <x v="2"/>
    <s v="QR Code"/>
    <s v="Émargée"/>
    <x v="72"/>
    <s v="Alexis"/>
    <x v="5"/>
    <x v="72"/>
    <x v="1"/>
  </r>
  <r>
    <m/>
    <d v="2025-09-08T00:00:00"/>
    <x v="4"/>
    <x v="4"/>
    <s v="QR Code"/>
    <s v="Émargée"/>
    <x v="140"/>
    <s v="Nathan"/>
    <x v="4"/>
    <x v="138"/>
    <x v="1"/>
  </r>
  <r>
    <m/>
    <d v="2025-09-08T00:00:00"/>
    <x v="1"/>
    <x v="1"/>
    <s v="QR Code"/>
    <s v="Émargée"/>
    <x v="140"/>
    <s v="Nathan"/>
    <x v="1"/>
    <x v="138"/>
    <x v="1"/>
  </r>
  <r>
    <m/>
    <d v="2025-09-08T00:00:00"/>
    <x v="2"/>
    <x v="2"/>
    <s v="QR Code"/>
    <s v="Émargée"/>
    <x v="140"/>
    <s v="Nathan"/>
    <x v="2"/>
    <x v="138"/>
    <x v="1"/>
  </r>
  <r>
    <m/>
    <d v="2025-09-08T00:00:00"/>
    <x v="3"/>
    <x v="3"/>
    <s v="QR Code"/>
    <s v="Émargée"/>
    <x v="140"/>
    <s v="Nathan"/>
    <x v="3"/>
    <x v="138"/>
    <x v="1"/>
  </r>
  <r>
    <m/>
    <d v="2025-09-09T00:00:00"/>
    <x v="5"/>
    <x v="2"/>
    <s v="QR Code"/>
    <s v="Émargée"/>
    <x v="73"/>
    <s v="Ansel"/>
    <x v="5"/>
    <x v="73"/>
    <x v="0"/>
  </r>
  <r>
    <m/>
    <d v="2025-09-09T00:00:00"/>
    <x v="5"/>
    <x v="2"/>
    <s v="QR Code"/>
    <s v="Émargée"/>
    <x v="74"/>
    <s v="Thomas"/>
    <x v="5"/>
    <x v="74"/>
    <x v="0"/>
  </r>
  <r>
    <m/>
    <d v="2025-09-08T00:00:00"/>
    <x v="4"/>
    <x v="4"/>
    <s v="QR Code"/>
    <s v="Émargée"/>
    <x v="141"/>
    <s v="Alexandre"/>
    <x v="4"/>
    <x v="139"/>
    <x v="1"/>
  </r>
  <r>
    <m/>
    <d v="2025-09-08T00:00:00"/>
    <x v="1"/>
    <x v="1"/>
    <s v="QR Code"/>
    <s v="Émargée"/>
    <x v="141"/>
    <s v="Alexandre"/>
    <x v="1"/>
    <x v="139"/>
    <x v="1"/>
  </r>
  <r>
    <m/>
    <d v="2025-09-08T00:00:00"/>
    <x v="2"/>
    <x v="2"/>
    <s v="QR Code"/>
    <s v="Émargée"/>
    <x v="141"/>
    <s v="Alexandre"/>
    <x v="2"/>
    <x v="139"/>
    <x v="1"/>
  </r>
  <r>
    <m/>
    <d v="2025-09-08T00:00:00"/>
    <x v="3"/>
    <x v="3"/>
    <s v="QR Code"/>
    <s v="Émargée"/>
    <x v="141"/>
    <s v="Alexandre"/>
    <x v="3"/>
    <x v="139"/>
    <x v="1"/>
  </r>
  <r>
    <m/>
    <d v="2025-09-09T00:00:00"/>
    <x v="5"/>
    <x v="2"/>
    <s v="QR Code"/>
    <s v="Émargée"/>
    <x v="75"/>
    <s v="Louis"/>
    <x v="5"/>
    <x v="75"/>
    <x v="0"/>
  </r>
  <r>
    <m/>
    <d v="2025-09-09T00:00:00"/>
    <x v="5"/>
    <x v="2"/>
    <s v="QR Code"/>
    <s v="Émargée"/>
    <x v="76"/>
    <s v="Adrien"/>
    <x v="5"/>
    <x v="76"/>
    <x v="0"/>
  </r>
  <r>
    <m/>
    <d v="2025-09-08T00:00:00"/>
    <x v="4"/>
    <x v="4"/>
    <s v="QR Code"/>
    <s v="Émargée"/>
    <x v="142"/>
    <s v="Ariel, Eric"/>
    <x v="4"/>
    <x v="140"/>
    <x v="1"/>
  </r>
  <r>
    <m/>
    <d v="2025-09-08T00:00:00"/>
    <x v="1"/>
    <x v="1"/>
    <s v="QR Code"/>
    <s v="Émargée"/>
    <x v="142"/>
    <s v="Ariel, Eric"/>
    <x v="1"/>
    <x v="140"/>
    <x v="0"/>
  </r>
  <r>
    <m/>
    <d v="2025-09-08T00:00:00"/>
    <x v="2"/>
    <x v="2"/>
    <s v="QR Code"/>
    <s v="Émargée"/>
    <x v="142"/>
    <s v="Ariel, Eric"/>
    <x v="2"/>
    <x v="140"/>
    <x v="0"/>
  </r>
  <r>
    <m/>
    <d v="2025-09-08T00:00:00"/>
    <x v="3"/>
    <x v="3"/>
    <s v="QR Code"/>
    <s v="Émargée"/>
    <x v="142"/>
    <s v="Ariel, Eric"/>
    <x v="3"/>
    <x v="140"/>
    <x v="0"/>
  </r>
  <r>
    <m/>
    <d v="2025-09-09T00:00:00"/>
    <x v="5"/>
    <x v="2"/>
    <s v="QR Code"/>
    <s v="Émargée"/>
    <x v="77"/>
    <s v="Sarra"/>
    <x v="5"/>
    <x v="77"/>
    <x v="0"/>
  </r>
  <r>
    <m/>
    <d v="2025-09-09T00:00:00"/>
    <x v="5"/>
    <x v="2"/>
    <s v="QR Code"/>
    <s v="Émargée"/>
    <x v="78"/>
    <s v="Rei"/>
    <x v="5"/>
    <x v="78"/>
    <x v="0"/>
  </r>
  <r>
    <m/>
    <d v="2025-09-08T00:00:00"/>
    <x v="1"/>
    <x v="1"/>
    <s v="QR Code"/>
    <s v="Émargée"/>
    <x v="209"/>
    <s v="Henri"/>
    <x v="1"/>
    <x v="207"/>
    <x v="0"/>
  </r>
  <r>
    <m/>
    <d v="2025-09-08T00:00:00"/>
    <x v="2"/>
    <x v="2"/>
    <s v="QR Code"/>
    <s v="Émargée"/>
    <x v="209"/>
    <s v="Henri"/>
    <x v="2"/>
    <x v="207"/>
    <x v="0"/>
  </r>
  <r>
    <m/>
    <d v="2025-09-09T00:00:00"/>
    <x v="5"/>
    <x v="2"/>
    <s v="QR Code"/>
    <s v="Émargée"/>
    <x v="79"/>
    <s v="Victor"/>
    <x v="5"/>
    <x v="79"/>
    <x v="0"/>
  </r>
  <r>
    <m/>
    <d v="2025-09-09T00:00:00"/>
    <x v="5"/>
    <x v="2"/>
    <s v="QR Code"/>
    <s v="Émargée"/>
    <x v="80"/>
    <s v="Hugo"/>
    <x v="5"/>
    <x v="80"/>
    <x v="0"/>
  </r>
  <r>
    <m/>
    <d v="2025-09-08T00:00:00"/>
    <x v="4"/>
    <x v="4"/>
    <s v="QR Code"/>
    <s v="Émargée"/>
    <x v="143"/>
    <s v="Siah"/>
    <x v="4"/>
    <x v="141"/>
    <x v="0"/>
  </r>
  <r>
    <m/>
    <d v="2025-09-08T00:00:00"/>
    <x v="1"/>
    <x v="1"/>
    <s v="QR Code"/>
    <s v="Émargée"/>
    <x v="143"/>
    <s v="Siah"/>
    <x v="1"/>
    <x v="141"/>
    <x v="0"/>
  </r>
  <r>
    <m/>
    <d v="2025-09-08T00:00:00"/>
    <x v="2"/>
    <x v="2"/>
    <s v="QR Code"/>
    <s v="Émargée"/>
    <x v="143"/>
    <s v="Siah"/>
    <x v="2"/>
    <x v="141"/>
    <x v="0"/>
  </r>
  <r>
    <m/>
    <d v="2025-09-08T00:00:00"/>
    <x v="3"/>
    <x v="3"/>
    <s v="QR Code"/>
    <s v="Émargée"/>
    <x v="143"/>
    <s v="Siah"/>
    <x v="3"/>
    <x v="141"/>
    <x v="0"/>
  </r>
  <r>
    <m/>
    <d v="2025-09-09T00:00:00"/>
    <x v="5"/>
    <x v="2"/>
    <s v="QR Code"/>
    <s v="Émargée"/>
    <x v="81"/>
    <s v="Éléa"/>
    <x v="5"/>
    <x v="81"/>
    <x v="0"/>
  </r>
  <r>
    <m/>
    <d v="2025-09-09T00:00:00"/>
    <x v="5"/>
    <x v="2"/>
    <s v="QR Code"/>
    <s v="Émargée"/>
    <x v="82"/>
    <s v="Jiayue"/>
    <x v="5"/>
    <x v="82"/>
    <x v="0"/>
  </r>
  <r>
    <m/>
    <d v="2025-09-08T00:00:00"/>
    <x v="4"/>
    <x v="4"/>
    <s v="QR Code"/>
    <s v="Émargée"/>
    <x v="144"/>
    <s v="Miho"/>
    <x v="4"/>
    <x v="142"/>
    <x v="0"/>
  </r>
  <r>
    <m/>
    <d v="2025-09-08T00:00:00"/>
    <x v="1"/>
    <x v="1"/>
    <s v="QR Code"/>
    <s v="Émargée"/>
    <x v="144"/>
    <s v="Miho"/>
    <x v="1"/>
    <x v="142"/>
    <x v="0"/>
  </r>
  <r>
    <m/>
    <d v="2025-09-08T00:00:00"/>
    <x v="2"/>
    <x v="2"/>
    <s v="QR Code"/>
    <s v="Émargée"/>
    <x v="144"/>
    <s v="Miho"/>
    <x v="2"/>
    <x v="142"/>
    <x v="0"/>
  </r>
  <r>
    <m/>
    <d v="2025-09-08T00:00:00"/>
    <x v="3"/>
    <x v="3"/>
    <s v="QR Code"/>
    <s v="Émargée"/>
    <x v="144"/>
    <s v="Miho"/>
    <x v="3"/>
    <x v="142"/>
    <x v="0"/>
  </r>
  <r>
    <m/>
    <d v="2025-09-09T00:00:00"/>
    <x v="5"/>
    <x v="2"/>
    <s v="QR Code"/>
    <s v="Émargée"/>
    <x v="83"/>
    <s v="Alonso"/>
    <x v="5"/>
    <x v="83"/>
    <x v="0"/>
  </r>
  <r>
    <m/>
    <d v="2025-09-09T00:00:00"/>
    <x v="5"/>
    <x v="2"/>
    <s v="QR Code"/>
    <s v="Émargée"/>
    <x v="167"/>
    <s v="Hugo"/>
    <x v="5"/>
    <x v="165"/>
    <x v="0"/>
  </r>
  <r>
    <m/>
    <d v="2025-09-08T00:00:00"/>
    <x v="1"/>
    <x v="1"/>
    <s v="QR Code"/>
    <s v="Émargée"/>
    <x v="145"/>
    <s v="Clément"/>
    <x v="1"/>
    <x v="143"/>
    <x v="1"/>
  </r>
  <r>
    <m/>
    <d v="2025-09-08T00:00:00"/>
    <x v="2"/>
    <x v="2"/>
    <s v="QR Code"/>
    <s v="Émargée"/>
    <x v="145"/>
    <s v="Clément"/>
    <x v="2"/>
    <x v="143"/>
    <x v="1"/>
  </r>
  <r>
    <m/>
    <d v="2025-09-08T00:00:00"/>
    <x v="3"/>
    <x v="3"/>
    <s v="QR Code"/>
    <s v="Émargée"/>
    <x v="145"/>
    <s v="Clément"/>
    <x v="3"/>
    <x v="143"/>
    <x v="1"/>
  </r>
  <r>
    <m/>
    <d v="2025-09-09T00:00:00"/>
    <x v="5"/>
    <x v="2"/>
    <s v="QR Code"/>
    <s v="Émargée"/>
    <x v="84"/>
    <s v="Enric"/>
    <x v="5"/>
    <x v="84"/>
    <x v="1"/>
  </r>
  <r>
    <m/>
    <d v="2025-09-09T00:00:00"/>
    <x v="5"/>
    <x v="2"/>
    <s v="QR Code"/>
    <s v="Émargée"/>
    <x v="85"/>
    <s v="Antoine"/>
    <x v="5"/>
    <x v="85"/>
    <x v="0"/>
  </r>
  <r>
    <m/>
    <d v="2025-09-08T00:00:00"/>
    <x v="4"/>
    <x v="4"/>
    <s v="QR Code"/>
    <s v="Émargée"/>
    <x v="146"/>
    <s v="Sarah"/>
    <x v="4"/>
    <x v="144"/>
    <x v="0"/>
  </r>
  <r>
    <m/>
    <d v="2025-09-08T00:00:00"/>
    <x v="1"/>
    <x v="1"/>
    <s v="QR Code"/>
    <s v="Émargée"/>
    <x v="146"/>
    <s v="Sarah"/>
    <x v="1"/>
    <x v="144"/>
    <x v="0"/>
  </r>
  <r>
    <m/>
    <d v="2025-09-08T00:00:00"/>
    <x v="2"/>
    <x v="2"/>
    <s v="QR Code"/>
    <s v="Émargée"/>
    <x v="146"/>
    <s v="Sarah"/>
    <x v="2"/>
    <x v="144"/>
    <x v="0"/>
  </r>
  <r>
    <m/>
    <d v="2025-09-08T00:00:00"/>
    <x v="3"/>
    <x v="3"/>
    <s v="QR Code"/>
    <s v="Émargée"/>
    <x v="146"/>
    <s v="Sarah"/>
    <x v="3"/>
    <x v="144"/>
    <x v="0"/>
  </r>
  <r>
    <m/>
    <d v="2025-09-09T00:00:00"/>
    <x v="5"/>
    <x v="2"/>
    <s v="QR Code"/>
    <s v="Émargée"/>
    <x v="86"/>
    <s v="Takashi"/>
    <x v="5"/>
    <x v="86"/>
    <x v="1"/>
  </r>
  <r>
    <m/>
    <d v="2025-09-09T00:00:00"/>
    <x v="5"/>
    <x v="2"/>
    <s v="QR Code"/>
    <s v="Émargée"/>
    <x v="87"/>
    <s v="Henry"/>
    <x v="5"/>
    <x v="87"/>
    <x v="0"/>
  </r>
  <r>
    <m/>
    <d v="2025-09-08T00:00:00"/>
    <x v="4"/>
    <x v="4"/>
    <s v="QR Code"/>
    <s v="Émargée"/>
    <x v="147"/>
    <s v="Jules"/>
    <x v="4"/>
    <x v="145"/>
    <x v="1"/>
  </r>
  <r>
    <m/>
    <d v="2025-09-08T00:00:00"/>
    <x v="1"/>
    <x v="1"/>
    <s v="QR Code"/>
    <s v="Émargée"/>
    <x v="147"/>
    <s v="Jules"/>
    <x v="1"/>
    <x v="145"/>
    <x v="1"/>
  </r>
  <r>
    <m/>
    <d v="2025-09-08T00:00:00"/>
    <x v="2"/>
    <x v="2"/>
    <s v="QR Code"/>
    <s v="Émargée"/>
    <x v="147"/>
    <s v="Jules"/>
    <x v="2"/>
    <x v="145"/>
    <x v="1"/>
  </r>
  <r>
    <m/>
    <d v="2025-09-08T00:00:00"/>
    <x v="3"/>
    <x v="3"/>
    <s v="QR Code"/>
    <s v="Émargée"/>
    <x v="147"/>
    <s v="Jules"/>
    <x v="3"/>
    <x v="145"/>
    <x v="1"/>
  </r>
  <r>
    <m/>
    <d v="2025-09-09T00:00:00"/>
    <x v="5"/>
    <x v="2"/>
    <s v="QR Code"/>
    <s v="Émargée"/>
    <x v="88"/>
    <s v="Nils"/>
    <x v="5"/>
    <x v="88"/>
    <x v="0"/>
  </r>
  <r>
    <m/>
    <d v="2025-09-09T00:00:00"/>
    <x v="5"/>
    <x v="2"/>
    <s v="QR Code"/>
    <s v="Émargée"/>
    <x v="90"/>
    <s v="Rouben"/>
    <x v="5"/>
    <x v="90"/>
    <x v="0"/>
  </r>
  <r>
    <m/>
    <d v="2025-09-08T00:00:00"/>
    <x v="4"/>
    <x v="4"/>
    <s v="QR Code"/>
    <s v="Émargée"/>
    <x v="148"/>
    <s v="Armand"/>
    <x v="4"/>
    <x v="146"/>
    <x v="0"/>
  </r>
  <r>
    <m/>
    <d v="2025-09-08T00:00:00"/>
    <x v="1"/>
    <x v="1"/>
    <s v="QR Code"/>
    <s v="Émargée"/>
    <x v="148"/>
    <s v="Armand"/>
    <x v="1"/>
    <x v="146"/>
    <x v="0"/>
  </r>
  <r>
    <m/>
    <d v="2025-09-08T00:00:00"/>
    <x v="2"/>
    <x v="2"/>
    <s v="QR Code"/>
    <s v="Émargée"/>
    <x v="148"/>
    <s v="Armand"/>
    <x v="2"/>
    <x v="146"/>
    <x v="0"/>
  </r>
  <r>
    <m/>
    <d v="2025-09-08T00:00:00"/>
    <x v="3"/>
    <x v="3"/>
    <s v="QR Code"/>
    <s v="Émargée"/>
    <x v="148"/>
    <s v="Armand"/>
    <x v="3"/>
    <x v="146"/>
    <x v="0"/>
  </r>
  <r>
    <m/>
    <d v="2025-09-09T00:00:00"/>
    <x v="5"/>
    <x v="2"/>
    <s v="QR Code"/>
    <s v="Émargée"/>
    <x v="91"/>
    <s v="Ariane"/>
    <x v="5"/>
    <x v="91"/>
    <x v="0"/>
  </r>
  <r>
    <m/>
    <d v="2025-09-09T00:00:00"/>
    <x v="5"/>
    <x v="2"/>
    <s v="QR Code"/>
    <s v="Émargée"/>
    <x v="184"/>
    <s v="Justine"/>
    <x v="5"/>
    <x v="182"/>
    <x v="1"/>
  </r>
  <r>
    <m/>
    <d v="2025-09-08T00:00:00"/>
    <x v="4"/>
    <x v="4"/>
    <s v="QR Code"/>
    <s v="Émargée"/>
    <x v="149"/>
    <s v="Antoine"/>
    <x v="4"/>
    <x v="147"/>
    <x v="0"/>
  </r>
  <r>
    <m/>
    <d v="2025-09-08T00:00:00"/>
    <x v="1"/>
    <x v="1"/>
    <s v="QR Code"/>
    <s v="Émargée"/>
    <x v="149"/>
    <s v="Antoine"/>
    <x v="1"/>
    <x v="147"/>
    <x v="0"/>
  </r>
  <r>
    <m/>
    <d v="2025-09-08T00:00:00"/>
    <x v="2"/>
    <x v="2"/>
    <s v="QR Code"/>
    <s v="Émargée"/>
    <x v="149"/>
    <s v="Antoine"/>
    <x v="2"/>
    <x v="147"/>
    <x v="0"/>
  </r>
  <r>
    <m/>
    <d v="2025-09-08T00:00:00"/>
    <x v="3"/>
    <x v="3"/>
    <s v="QR Code"/>
    <s v="Émargée"/>
    <x v="149"/>
    <s v="Antoine"/>
    <x v="3"/>
    <x v="147"/>
    <x v="1"/>
  </r>
  <r>
    <m/>
    <d v="2025-09-09T00:00:00"/>
    <x v="5"/>
    <x v="2"/>
    <s v="QR Code"/>
    <s v="Émargée"/>
    <x v="92"/>
    <s v="Seohyeon"/>
    <x v="5"/>
    <x v="92"/>
    <x v="1"/>
  </r>
  <r>
    <m/>
    <d v="2025-09-09T00:00:00"/>
    <x v="5"/>
    <x v="2"/>
    <s v="QR Code"/>
    <s v="Émargée"/>
    <x v="93"/>
    <s v="Minjae"/>
    <x v="5"/>
    <x v="92"/>
    <x v="0"/>
  </r>
  <r>
    <m/>
    <d v="2025-09-08T00:00:00"/>
    <x v="1"/>
    <x v="1"/>
    <s v="QR Code"/>
    <s v="Émargée"/>
    <x v="210"/>
    <s v="Mélodie"/>
    <x v="1"/>
    <x v="208"/>
    <x v="0"/>
  </r>
  <r>
    <m/>
    <d v="2025-09-08T00:00:00"/>
    <x v="2"/>
    <x v="2"/>
    <s v="QR Code"/>
    <s v="Émargée"/>
    <x v="210"/>
    <s v="Mélodie"/>
    <x v="2"/>
    <x v="208"/>
    <x v="0"/>
  </r>
  <r>
    <m/>
    <d v="2025-09-08T00:00:00"/>
    <x v="3"/>
    <x v="3"/>
    <s v="QR Code"/>
    <s v="Émargée"/>
    <x v="210"/>
    <s v="Mélodie"/>
    <x v="3"/>
    <x v="208"/>
    <x v="0"/>
  </r>
  <r>
    <m/>
    <d v="2025-09-09T00:00:00"/>
    <x v="5"/>
    <x v="2"/>
    <s v="QR Code"/>
    <s v="Émargée"/>
    <x v="94"/>
    <s v="Nils"/>
    <x v="5"/>
    <x v="93"/>
    <x v="0"/>
  </r>
  <r>
    <m/>
    <d v="2025-09-09T00:00:00"/>
    <x v="5"/>
    <x v="2"/>
    <s v="QR Code"/>
    <s v="Émargée"/>
    <x v="95"/>
    <s v="Ninon"/>
    <x v="5"/>
    <x v="94"/>
    <x v="0"/>
  </r>
  <r>
    <m/>
    <d v="2025-09-08T00:00:00"/>
    <x v="4"/>
    <x v="4"/>
    <s v="QR Code"/>
    <s v="Émargée"/>
    <x v="150"/>
    <s v="Morgane"/>
    <x v="4"/>
    <x v="148"/>
    <x v="0"/>
  </r>
  <r>
    <m/>
    <d v="2025-09-08T00:00:00"/>
    <x v="1"/>
    <x v="1"/>
    <s v="QR Code"/>
    <s v="Émargée"/>
    <x v="150"/>
    <s v="Morgane"/>
    <x v="1"/>
    <x v="148"/>
    <x v="0"/>
  </r>
  <r>
    <m/>
    <d v="2025-09-08T00:00:00"/>
    <x v="2"/>
    <x v="2"/>
    <s v="QR Code"/>
    <s v="Émargée"/>
    <x v="150"/>
    <s v="Morgane"/>
    <x v="2"/>
    <x v="148"/>
    <x v="0"/>
  </r>
  <r>
    <m/>
    <d v="2025-09-08T00:00:00"/>
    <x v="3"/>
    <x v="3"/>
    <s v="QR Code"/>
    <s v="Émargée"/>
    <x v="150"/>
    <s v="Morgane"/>
    <x v="3"/>
    <x v="148"/>
    <x v="0"/>
  </r>
  <r>
    <m/>
    <d v="2025-09-09T00:00:00"/>
    <x v="5"/>
    <x v="2"/>
    <s v="QR Code"/>
    <s v="Émargée"/>
    <x v="96"/>
    <s v="Sacha"/>
    <x v="5"/>
    <x v="95"/>
    <x v="0"/>
  </r>
  <r>
    <m/>
    <d v="2025-09-09T00:00:00"/>
    <x v="5"/>
    <x v="2"/>
    <s v="QR Code"/>
    <s v="Émargée"/>
    <x v="97"/>
    <s v="Noémie"/>
    <x v="5"/>
    <x v="96"/>
    <x v="0"/>
  </r>
  <r>
    <m/>
    <d v="2025-09-08T00:00:00"/>
    <x v="4"/>
    <x v="4"/>
    <s v="QR Code"/>
    <s v="Émargée"/>
    <x v="151"/>
    <s v="Josserand"/>
    <x v="4"/>
    <x v="149"/>
    <x v="0"/>
  </r>
  <r>
    <m/>
    <d v="2025-09-08T00:00:00"/>
    <x v="1"/>
    <x v="1"/>
    <s v="QR Code"/>
    <s v="Émargée"/>
    <x v="151"/>
    <s v="Josserand"/>
    <x v="1"/>
    <x v="149"/>
    <x v="0"/>
  </r>
  <r>
    <m/>
    <d v="2025-09-08T00:00:00"/>
    <x v="2"/>
    <x v="2"/>
    <s v="QR Code"/>
    <s v="Émargée"/>
    <x v="151"/>
    <s v="Josserand"/>
    <x v="2"/>
    <x v="149"/>
    <x v="0"/>
  </r>
  <r>
    <m/>
    <d v="2025-09-08T00:00:00"/>
    <x v="3"/>
    <x v="3"/>
    <s v="QR Code"/>
    <s v="Émargée"/>
    <x v="151"/>
    <s v="Josserand"/>
    <x v="3"/>
    <x v="149"/>
    <x v="0"/>
  </r>
  <r>
    <m/>
    <d v="2025-09-09T00:00:00"/>
    <x v="5"/>
    <x v="2"/>
    <s v="QR Code"/>
    <s v="Émargée"/>
    <x v="98"/>
    <s v="Dimitri"/>
    <x v="5"/>
    <x v="97"/>
    <x v="1"/>
  </r>
  <r>
    <m/>
    <d v="2025-09-09T00:00:00"/>
    <x v="5"/>
    <x v="2"/>
    <s v="QR Code"/>
    <s v="Émargée"/>
    <x v="99"/>
    <s v="Maelys"/>
    <x v="5"/>
    <x v="98"/>
    <x v="0"/>
  </r>
  <r>
    <m/>
    <d v="2025-09-08T00:00:00"/>
    <x v="4"/>
    <x v="4"/>
    <s v="QR Code"/>
    <s v="Émargée"/>
    <x v="152"/>
    <s v="Thomas"/>
    <x v="4"/>
    <x v="150"/>
    <x v="1"/>
  </r>
  <r>
    <m/>
    <d v="2025-09-08T00:00:00"/>
    <x v="1"/>
    <x v="1"/>
    <s v="QR Code"/>
    <s v="Émargée"/>
    <x v="152"/>
    <s v="Thomas"/>
    <x v="1"/>
    <x v="150"/>
    <x v="1"/>
  </r>
  <r>
    <m/>
    <d v="2025-09-08T00:00:00"/>
    <x v="2"/>
    <x v="2"/>
    <s v="QR Code"/>
    <s v="Émargée"/>
    <x v="152"/>
    <s v="Thomas"/>
    <x v="2"/>
    <x v="150"/>
    <x v="1"/>
  </r>
  <r>
    <m/>
    <d v="2025-09-08T00:00:00"/>
    <x v="3"/>
    <x v="3"/>
    <s v="QR Code"/>
    <s v="Émargée"/>
    <x v="152"/>
    <s v="Thomas"/>
    <x v="3"/>
    <x v="150"/>
    <x v="1"/>
  </r>
  <r>
    <m/>
    <d v="2025-09-09T00:00:00"/>
    <x v="5"/>
    <x v="2"/>
    <s v="QR Code"/>
    <s v="Émargée"/>
    <x v="100"/>
    <s v="Louis"/>
    <x v="5"/>
    <x v="99"/>
    <x v="0"/>
  </r>
  <r>
    <m/>
    <d v="2025-09-09T00:00:00"/>
    <x v="5"/>
    <x v="2"/>
    <s v="QR Code"/>
    <s v="Émargée"/>
    <x v="101"/>
    <s v="Sarah"/>
    <x v="5"/>
    <x v="100"/>
    <x v="0"/>
  </r>
  <r>
    <m/>
    <d v="2025-09-08T00:00:00"/>
    <x v="4"/>
    <x v="4"/>
    <s v="QR Code"/>
    <s v="Émargée"/>
    <x v="153"/>
    <s v="Félix"/>
    <x v="4"/>
    <x v="151"/>
    <x v="0"/>
  </r>
  <r>
    <m/>
    <d v="2025-09-08T00:00:00"/>
    <x v="1"/>
    <x v="1"/>
    <s v="QR Code"/>
    <s v="Émargée"/>
    <x v="153"/>
    <s v="Félix"/>
    <x v="1"/>
    <x v="151"/>
    <x v="0"/>
  </r>
  <r>
    <m/>
    <d v="2025-09-08T00:00:00"/>
    <x v="2"/>
    <x v="2"/>
    <s v="QR Code"/>
    <s v="Émargée"/>
    <x v="153"/>
    <s v="Félix"/>
    <x v="2"/>
    <x v="151"/>
    <x v="0"/>
  </r>
  <r>
    <m/>
    <d v="2025-09-08T00:00:00"/>
    <x v="3"/>
    <x v="3"/>
    <s v="QR Code"/>
    <s v="Émargée"/>
    <x v="153"/>
    <s v="Félix"/>
    <x v="3"/>
    <x v="151"/>
    <x v="0"/>
  </r>
  <r>
    <m/>
    <d v="2025-09-09T00:00:00"/>
    <x v="5"/>
    <x v="2"/>
    <s v="QR Code"/>
    <s v="Émargée"/>
    <x v="102"/>
    <s v="Robin"/>
    <x v="5"/>
    <x v="101"/>
    <x v="0"/>
  </r>
  <r>
    <m/>
    <d v="2025-09-09T00:00:00"/>
    <x v="5"/>
    <x v="2"/>
    <s v="QR Code"/>
    <s v="Émargée"/>
    <x v="103"/>
    <s v="Romane"/>
    <x v="5"/>
    <x v="102"/>
    <x v="0"/>
  </r>
  <r>
    <m/>
    <d v="2025-09-08T00:00:00"/>
    <x v="4"/>
    <x v="4"/>
    <s v="QR Code"/>
    <s v="Émargée"/>
    <x v="154"/>
    <s v="Étienne"/>
    <x v="4"/>
    <x v="152"/>
    <x v="0"/>
  </r>
  <r>
    <m/>
    <d v="2025-09-08T00:00:00"/>
    <x v="1"/>
    <x v="1"/>
    <s v="QR Code"/>
    <s v="Émargée"/>
    <x v="154"/>
    <s v="Étienne"/>
    <x v="1"/>
    <x v="152"/>
    <x v="0"/>
  </r>
  <r>
    <m/>
    <d v="2025-09-08T00:00:00"/>
    <x v="2"/>
    <x v="2"/>
    <s v="QR Code"/>
    <s v="Émargée"/>
    <x v="154"/>
    <s v="Étienne"/>
    <x v="2"/>
    <x v="152"/>
    <x v="0"/>
  </r>
  <r>
    <m/>
    <d v="2025-09-08T00:00:00"/>
    <x v="3"/>
    <x v="3"/>
    <s v="QR Code"/>
    <s v="Émargée"/>
    <x v="154"/>
    <s v="Étienne"/>
    <x v="3"/>
    <x v="152"/>
    <x v="1"/>
  </r>
  <r>
    <m/>
    <d v="2025-09-09T00:00:00"/>
    <x v="5"/>
    <x v="2"/>
    <s v="QR Code"/>
    <s v="Émargée"/>
    <x v="104"/>
    <s v="Théo"/>
    <x v="5"/>
    <x v="103"/>
    <x v="0"/>
  </r>
  <r>
    <m/>
    <d v="2025-09-09T00:00:00"/>
    <x v="5"/>
    <x v="2"/>
    <s v="QR Code"/>
    <s v="Émargée"/>
    <x v="105"/>
    <s v="Jean-Baptiste"/>
    <x v="5"/>
    <x v="104"/>
    <x v="0"/>
  </r>
  <r>
    <m/>
    <d v="2025-09-08T00:00:00"/>
    <x v="4"/>
    <x v="4"/>
    <s v="QR Code"/>
    <s v="Émargée"/>
    <x v="155"/>
    <s v="Dani"/>
    <x v="4"/>
    <x v="153"/>
    <x v="1"/>
  </r>
  <r>
    <m/>
    <d v="2025-09-08T00:00:00"/>
    <x v="1"/>
    <x v="1"/>
    <s v="QR Code"/>
    <s v="Émargée"/>
    <x v="155"/>
    <s v="Dani"/>
    <x v="1"/>
    <x v="153"/>
    <x v="1"/>
  </r>
  <r>
    <m/>
    <d v="2025-09-08T00:00:00"/>
    <x v="2"/>
    <x v="2"/>
    <s v="QR Code"/>
    <s v="Émargée"/>
    <x v="155"/>
    <s v="Dani"/>
    <x v="2"/>
    <x v="153"/>
    <x v="1"/>
  </r>
  <r>
    <m/>
    <d v="2025-09-08T00:00:00"/>
    <x v="3"/>
    <x v="3"/>
    <s v="QR Code"/>
    <s v="Émargée"/>
    <x v="155"/>
    <s v="Dani"/>
    <x v="3"/>
    <x v="153"/>
    <x v="1"/>
  </r>
  <r>
    <m/>
    <d v="2025-09-09T00:00:00"/>
    <x v="5"/>
    <x v="2"/>
    <s v="QR Code"/>
    <s v="Émargée"/>
    <x v="106"/>
    <s v="Lior"/>
    <x v="5"/>
    <x v="105"/>
    <x v="0"/>
  </r>
  <r>
    <m/>
    <d v="2025-09-09T00:00:00"/>
    <x v="5"/>
    <x v="2"/>
    <s v="QR Code"/>
    <s v="Émargée"/>
    <x v="107"/>
    <s v="Elvire"/>
    <x v="5"/>
    <x v="106"/>
    <x v="0"/>
  </r>
  <r>
    <m/>
    <d v="2025-09-08T00:00:00"/>
    <x v="4"/>
    <x v="4"/>
    <s v="QR Code"/>
    <s v="Émargée"/>
    <x v="156"/>
    <s v="Adrien"/>
    <x v="4"/>
    <x v="154"/>
    <x v="0"/>
  </r>
  <r>
    <m/>
    <d v="2025-09-08T00:00:00"/>
    <x v="1"/>
    <x v="1"/>
    <s v="QR Code"/>
    <s v="Émargée"/>
    <x v="156"/>
    <s v="Adrien"/>
    <x v="1"/>
    <x v="154"/>
    <x v="0"/>
  </r>
  <r>
    <m/>
    <d v="2025-09-08T00:00:00"/>
    <x v="2"/>
    <x v="2"/>
    <s v="QR Code"/>
    <s v="Émargée"/>
    <x v="156"/>
    <s v="Adrien"/>
    <x v="2"/>
    <x v="154"/>
    <x v="0"/>
  </r>
  <r>
    <m/>
    <d v="2025-09-08T00:00:00"/>
    <x v="3"/>
    <x v="3"/>
    <s v="QR Code"/>
    <s v="Émargée"/>
    <x v="156"/>
    <s v="Adrien"/>
    <x v="3"/>
    <x v="154"/>
    <x v="0"/>
  </r>
  <r>
    <m/>
    <d v="2025-09-09T00:00:00"/>
    <x v="5"/>
    <x v="2"/>
    <s v="QR Code"/>
    <s v="Émargée"/>
    <x v="108"/>
    <s v="Yaokun"/>
    <x v="5"/>
    <x v="107"/>
    <x v="1"/>
  </r>
  <r>
    <m/>
    <d v="2025-09-09T00:00:00"/>
    <x v="5"/>
    <x v="2"/>
    <s v="QR Code"/>
    <s v="Émargée"/>
    <x v="109"/>
    <s v="Skylar"/>
    <x v="5"/>
    <x v="108"/>
    <x v="0"/>
  </r>
  <r>
    <m/>
    <d v="2025-09-08T00:00:00"/>
    <x v="4"/>
    <x v="4"/>
    <s v="QR Code"/>
    <s v="Émargée"/>
    <x v="157"/>
    <s v="Emile"/>
    <x v="4"/>
    <x v="155"/>
    <x v="0"/>
  </r>
  <r>
    <m/>
    <d v="2025-09-08T00:00:00"/>
    <x v="1"/>
    <x v="1"/>
    <s v="QR Code"/>
    <s v="Émargée"/>
    <x v="157"/>
    <s v="Emile"/>
    <x v="1"/>
    <x v="155"/>
    <x v="0"/>
  </r>
  <r>
    <m/>
    <d v="2025-09-08T00:00:00"/>
    <x v="2"/>
    <x v="2"/>
    <s v="QR Code"/>
    <s v="Émargée"/>
    <x v="157"/>
    <s v="Emile"/>
    <x v="2"/>
    <x v="155"/>
    <x v="0"/>
  </r>
  <r>
    <m/>
    <d v="2025-09-08T00:00:00"/>
    <x v="3"/>
    <x v="3"/>
    <s v="QR Code"/>
    <s v="Émargée"/>
    <x v="157"/>
    <s v="Emile"/>
    <x v="3"/>
    <x v="155"/>
    <x v="0"/>
  </r>
  <r>
    <m/>
    <d v="2025-09-09T00:00:00"/>
    <x v="5"/>
    <x v="2"/>
    <s v="QR Code"/>
    <s v="Émargée"/>
    <x v="110"/>
    <s v="Liza"/>
    <x v="5"/>
    <x v="109"/>
    <x v="0"/>
  </r>
  <r>
    <m/>
    <d v="2025-09-09T00:00:00"/>
    <x v="5"/>
    <x v="2"/>
    <s v="QR Code"/>
    <s v="Émargée"/>
    <x v="111"/>
    <s v="Zhiqian"/>
    <x v="5"/>
    <x v="110"/>
    <x v="0"/>
  </r>
  <r>
    <m/>
    <d v="2025-09-08T00:00:00"/>
    <x v="1"/>
    <x v="1"/>
    <s v="QR Code"/>
    <s v="Émargée"/>
    <x v="158"/>
    <s v="Pierre-Antoine"/>
    <x v="1"/>
    <x v="156"/>
    <x v="1"/>
  </r>
  <r>
    <m/>
    <d v="2025-09-08T00:00:00"/>
    <x v="2"/>
    <x v="2"/>
    <s v="QR Code"/>
    <s v="Émargée"/>
    <x v="158"/>
    <s v="Pierre-Antoine"/>
    <x v="2"/>
    <x v="156"/>
    <x v="1"/>
  </r>
  <r>
    <m/>
    <d v="2025-09-08T00:00:00"/>
    <x v="3"/>
    <x v="3"/>
    <s v="QR Code"/>
    <s v="Émargée"/>
    <x v="158"/>
    <s v="Pierre-Antoine"/>
    <x v="3"/>
    <x v="156"/>
    <x v="1"/>
  </r>
  <r>
    <m/>
    <d v="2025-09-09T00:00:00"/>
    <x v="5"/>
    <x v="2"/>
    <s v="QR Code"/>
    <s v="Émargée"/>
    <x v="112"/>
    <s v="Esther"/>
    <x v="5"/>
    <x v="111"/>
    <x v="1"/>
  </r>
  <r>
    <m/>
    <d v="2025-09-09T00:00:00"/>
    <x v="5"/>
    <x v="2"/>
    <s v="QR Code"/>
    <s v="Émargée"/>
    <x v="113"/>
    <s v="Adélaïde"/>
    <x v="5"/>
    <x v="112"/>
    <x v="0"/>
  </r>
  <r>
    <m/>
    <d v="2025-09-08T00:00:00"/>
    <x v="4"/>
    <x v="4"/>
    <s v="QR Code"/>
    <s v="Émargée"/>
    <x v="159"/>
    <s v="Émile"/>
    <x v="4"/>
    <x v="157"/>
    <x v="0"/>
  </r>
  <r>
    <m/>
    <d v="2025-09-08T00:00:00"/>
    <x v="1"/>
    <x v="1"/>
    <s v="QR Code"/>
    <s v="Émargée"/>
    <x v="159"/>
    <s v="Émile"/>
    <x v="1"/>
    <x v="157"/>
    <x v="0"/>
  </r>
  <r>
    <m/>
    <d v="2025-09-08T00:00:00"/>
    <x v="2"/>
    <x v="2"/>
    <s v="QR Code"/>
    <s v="Émargée"/>
    <x v="159"/>
    <s v="Émile"/>
    <x v="2"/>
    <x v="157"/>
    <x v="1"/>
  </r>
  <r>
    <m/>
    <d v="2025-09-08T00:00:00"/>
    <x v="3"/>
    <x v="3"/>
    <s v="QR Code"/>
    <s v="Émargée"/>
    <x v="159"/>
    <s v="Émile"/>
    <x v="3"/>
    <x v="157"/>
    <x v="1"/>
  </r>
  <r>
    <m/>
    <d v="2025-09-09T00:00:00"/>
    <x v="5"/>
    <x v="2"/>
    <s v="QR Code"/>
    <s v="Émargée"/>
    <x v="114"/>
    <s v="Milo"/>
    <x v="5"/>
    <x v="113"/>
    <x v="0"/>
  </r>
  <r>
    <m/>
    <d v="2025-09-09T00:00:00"/>
    <x v="5"/>
    <x v="2"/>
    <s v="QR Code"/>
    <s v="Émargée"/>
    <x v="115"/>
    <s v="Fanny"/>
    <x v="5"/>
    <x v="114"/>
    <x v="1"/>
  </r>
  <r>
    <m/>
    <d v="2025-09-08T00:00:00"/>
    <x v="4"/>
    <x v="4"/>
    <s v="QR Code"/>
    <s v="Émargée"/>
    <x v="160"/>
    <s v="Pauline"/>
    <x v="4"/>
    <x v="158"/>
    <x v="0"/>
  </r>
  <r>
    <m/>
    <d v="2025-09-08T00:00:00"/>
    <x v="1"/>
    <x v="1"/>
    <s v="QR Code"/>
    <s v="Émargée"/>
    <x v="160"/>
    <s v="Pauline"/>
    <x v="1"/>
    <x v="158"/>
    <x v="0"/>
  </r>
  <r>
    <m/>
    <d v="2025-09-08T00:00:00"/>
    <x v="2"/>
    <x v="2"/>
    <s v="QR Code"/>
    <s v="Émargée"/>
    <x v="160"/>
    <s v="Pauline"/>
    <x v="2"/>
    <x v="158"/>
    <x v="0"/>
  </r>
  <r>
    <m/>
    <d v="2025-09-08T00:00:00"/>
    <x v="3"/>
    <x v="3"/>
    <s v="QR Code"/>
    <s v="Émargée"/>
    <x v="160"/>
    <s v="Pauline"/>
    <x v="3"/>
    <x v="158"/>
    <x v="0"/>
  </r>
  <r>
    <m/>
    <d v="2025-09-09T00:00:00"/>
    <x v="5"/>
    <x v="2"/>
    <s v="QR Code"/>
    <s v="Émargée"/>
    <x v="116"/>
    <s v="Lauriane"/>
    <x v="5"/>
    <x v="115"/>
    <x v="1"/>
  </r>
  <r>
    <m/>
    <d v="2025-09-09T00:00:00"/>
    <x v="5"/>
    <x v="2"/>
    <s v="QR Code"/>
    <s v="Émargée"/>
    <x v="117"/>
    <s v="Éléonore"/>
    <x v="5"/>
    <x v="116"/>
    <x v="0"/>
  </r>
  <r>
    <m/>
    <d v="2025-09-08T00:00:00"/>
    <x v="1"/>
    <x v="1"/>
    <s v="QR Code"/>
    <s v="Émargée"/>
    <x v="161"/>
    <s v="Estellie"/>
    <x v="1"/>
    <x v="159"/>
    <x v="0"/>
  </r>
  <r>
    <m/>
    <d v="2025-09-08T00:00:00"/>
    <x v="2"/>
    <x v="2"/>
    <s v="QR Code"/>
    <s v="Émargée"/>
    <x v="161"/>
    <s v="Estellie"/>
    <x v="2"/>
    <x v="159"/>
    <x v="0"/>
  </r>
  <r>
    <m/>
    <d v="2025-09-08T00:00:00"/>
    <x v="3"/>
    <x v="3"/>
    <s v="QR Code"/>
    <s v="Émargée"/>
    <x v="161"/>
    <s v="Estellie"/>
    <x v="3"/>
    <x v="159"/>
    <x v="0"/>
  </r>
  <r>
    <m/>
    <d v="2025-09-09T00:00:00"/>
    <x v="5"/>
    <x v="2"/>
    <s v="QR Code"/>
    <s v="Émargée"/>
    <x v="118"/>
    <s v="Coralie"/>
    <x v="5"/>
    <x v="117"/>
    <x v="0"/>
  </r>
  <r>
    <m/>
    <d v="2025-09-09T00:00:00"/>
    <x v="5"/>
    <x v="2"/>
    <s v="QR Code"/>
    <s v="Émargée"/>
    <x v="119"/>
    <s v="Marie-Aude"/>
    <x v="5"/>
    <x v="118"/>
    <x v="1"/>
  </r>
  <r>
    <m/>
    <d v="2025-09-08T00:00:00"/>
    <x v="4"/>
    <x v="4"/>
    <s v="QR Code"/>
    <s v="Émargée"/>
    <x v="162"/>
    <s v="Nino"/>
    <x v="4"/>
    <x v="160"/>
    <x v="0"/>
  </r>
  <r>
    <m/>
    <d v="2025-09-08T00:00:00"/>
    <x v="1"/>
    <x v="1"/>
    <s v="QR Code"/>
    <s v="Émargée"/>
    <x v="162"/>
    <s v="Nino"/>
    <x v="1"/>
    <x v="160"/>
    <x v="0"/>
  </r>
  <r>
    <m/>
    <d v="2025-09-08T00:00:00"/>
    <x v="2"/>
    <x v="2"/>
    <s v="QR Code"/>
    <s v="Émargée"/>
    <x v="162"/>
    <s v="Nino"/>
    <x v="2"/>
    <x v="160"/>
    <x v="0"/>
  </r>
  <r>
    <m/>
    <d v="2025-09-08T00:00:00"/>
    <x v="3"/>
    <x v="3"/>
    <s v="QR Code"/>
    <s v="Émargée"/>
    <x v="162"/>
    <s v="Nino"/>
    <x v="3"/>
    <x v="160"/>
    <x v="0"/>
  </r>
  <r>
    <m/>
    <d v="2025-09-09T00:00:00"/>
    <x v="5"/>
    <x v="2"/>
    <s v="QR Code"/>
    <s v="Émargée"/>
    <x v="120"/>
    <s v="Léo"/>
    <x v="5"/>
    <x v="119"/>
    <x v="0"/>
  </r>
  <r>
    <m/>
    <d v="2025-09-09T00:00:00"/>
    <x v="5"/>
    <x v="2"/>
    <s v="QR Code"/>
    <s v="Émargée"/>
    <x v="121"/>
    <s v="Naïs"/>
    <x v="5"/>
    <x v="120"/>
    <x v="0"/>
  </r>
  <r>
    <m/>
    <d v="2025-09-08T00:00:00"/>
    <x v="4"/>
    <x v="4"/>
    <s v="QR Code"/>
    <s v="Émargée"/>
    <x v="163"/>
    <s v="Cyrielle"/>
    <x v="4"/>
    <x v="161"/>
    <x v="0"/>
  </r>
  <r>
    <m/>
    <d v="2025-09-08T00:00:00"/>
    <x v="1"/>
    <x v="1"/>
    <s v="QR Code"/>
    <s v="Émargée"/>
    <x v="163"/>
    <s v="Cyrielle"/>
    <x v="1"/>
    <x v="161"/>
    <x v="0"/>
  </r>
  <r>
    <m/>
    <d v="2025-09-08T00:00:00"/>
    <x v="2"/>
    <x v="2"/>
    <s v="QR Code"/>
    <s v="Émargée"/>
    <x v="163"/>
    <s v="Cyrielle"/>
    <x v="2"/>
    <x v="161"/>
    <x v="0"/>
  </r>
  <r>
    <m/>
    <d v="2025-09-08T00:00:00"/>
    <x v="3"/>
    <x v="3"/>
    <s v="QR Code"/>
    <s v="Émargée"/>
    <x v="163"/>
    <s v="Cyrielle"/>
    <x v="3"/>
    <x v="161"/>
    <x v="0"/>
  </r>
  <r>
    <m/>
    <d v="2025-09-09T00:00:00"/>
    <x v="5"/>
    <x v="2"/>
    <s v="QR Code"/>
    <s v="Émargée"/>
    <x v="122"/>
    <s v="Maël"/>
    <x v="5"/>
    <x v="121"/>
    <x v="1"/>
  </r>
  <r>
    <m/>
    <d v="2025-09-09T00:00:00"/>
    <x v="5"/>
    <x v="2"/>
    <s v="QR Code"/>
    <s v="Émargée"/>
    <x v="123"/>
    <s v="Joffrey"/>
    <x v="5"/>
    <x v="122"/>
    <x v="1"/>
  </r>
  <r>
    <m/>
    <d v="2025-09-08T00:00:00"/>
    <x v="1"/>
    <x v="1"/>
    <s v="QR Code"/>
    <s v="Émargée"/>
    <x v="164"/>
    <s v="Chloë"/>
    <x v="1"/>
    <x v="162"/>
    <x v="1"/>
  </r>
  <r>
    <m/>
    <d v="2025-09-08T00:00:00"/>
    <x v="2"/>
    <x v="2"/>
    <s v="QR Code"/>
    <s v="Émargée"/>
    <x v="164"/>
    <s v="Chloë"/>
    <x v="2"/>
    <x v="162"/>
    <x v="1"/>
  </r>
  <r>
    <m/>
    <d v="2025-09-08T00:00:00"/>
    <x v="3"/>
    <x v="3"/>
    <s v="QR Code"/>
    <s v="Émargée"/>
    <x v="164"/>
    <s v="Chloë"/>
    <x v="3"/>
    <x v="162"/>
    <x v="1"/>
  </r>
  <r>
    <m/>
    <d v="2025-09-09T00:00:00"/>
    <x v="5"/>
    <x v="2"/>
    <s v="QR Code"/>
    <s v="Émargée"/>
    <x v="124"/>
    <s v="Salvatore"/>
    <x v="5"/>
    <x v="123"/>
    <x v="0"/>
  </r>
  <r>
    <m/>
    <d v="2025-09-09T00:00:00"/>
    <x v="5"/>
    <x v="2"/>
    <s v="QR Code"/>
    <s v="Émargée"/>
    <x v="125"/>
    <s v="Mélodie"/>
    <x v="5"/>
    <x v="124"/>
    <x v="1"/>
  </r>
  <r>
    <m/>
    <d v="2025-09-08T00:00:00"/>
    <x v="1"/>
    <x v="1"/>
    <s v="QR Code"/>
    <s v="Émargée"/>
    <x v="165"/>
    <s v="Soni-Sesto"/>
    <x v="1"/>
    <x v="163"/>
    <x v="1"/>
  </r>
  <r>
    <m/>
    <d v="2025-09-08T00:00:00"/>
    <x v="2"/>
    <x v="2"/>
    <s v="QR Code"/>
    <s v="Émargée"/>
    <x v="165"/>
    <s v="Soni-Sesto"/>
    <x v="2"/>
    <x v="163"/>
    <x v="1"/>
  </r>
  <r>
    <m/>
    <d v="2025-09-08T00:00:00"/>
    <x v="3"/>
    <x v="3"/>
    <s v="QR Code"/>
    <s v="Émargée"/>
    <x v="165"/>
    <s v="Soni-Sesto"/>
    <x v="3"/>
    <x v="163"/>
    <x v="1"/>
  </r>
  <r>
    <m/>
    <d v="2025-09-09T00:00:00"/>
    <x v="5"/>
    <x v="2"/>
    <s v="QR Code"/>
    <s v="Émargée"/>
    <x v="126"/>
    <s v="Léo"/>
    <x v="5"/>
    <x v="125"/>
    <x v="1"/>
  </r>
  <r>
    <m/>
    <d v="2025-09-09T00:00:00"/>
    <x v="5"/>
    <x v="2"/>
    <s v="QR Code"/>
    <s v="Émargée"/>
    <x v="127"/>
    <s v="Mariam"/>
    <x v="5"/>
    <x v="126"/>
    <x v="1"/>
  </r>
  <r>
    <m/>
    <d v="2025-09-08T00:00:00"/>
    <x v="4"/>
    <x v="4"/>
    <s v="QR Code"/>
    <s v="Émargée"/>
    <x v="166"/>
    <s v="Marie"/>
    <x v="4"/>
    <x v="164"/>
    <x v="1"/>
  </r>
  <r>
    <m/>
    <d v="2025-09-08T00:00:00"/>
    <x v="1"/>
    <x v="1"/>
    <s v="QR Code"/>
    <s v="Émargée"/>
    <x v="166"/>
    <s v="Marie"/>
    <x v="1"/>
    <x v="164"/>
    <x v="1"/>
  </r>
  <r>
    <m/>
    <d v="2025-09-08T00:00:00"/>
    <x v="2"/>
    <x v="2"/>
    <s v="QR Code"/>
    <s v="Émargée"/>
    <x v="166"/>
    <s v="Marie"/>
    <x v="2"/>
    <x v="164"/>
    <x v="1"/>
  </r>
  <r>
    <m/>
    <d v="2025-09-08T00:00:00"/>
    <x v="3"/>
    <x v="3"/>
    <s v="QR Code"/>
    <s v="Émargée"/>
    <x v="166"/>
    <s v="Marie"/>
    <x v="3"/>
    <x v="164"/>
    <x v="1"/>
  </r>
  <r>
    <m/>
    <d v="2025-09-09T00:00:00"/>
    <x v="5"/>
    <x v="2"/>
    <s v="QR Code"/>
    <s v="Émargée"/>
    <x v="128"/>
    <s v="Alan"/>
    <x v="5"/>
    <x v="127"/>
    <x v="0"/>
  </r>
  <r>
    <m/>
    <d v="2025-09-09T00:00:00"/>
    <x v="5"/>
    <x v="2"/>
    <s v="QR Code"/>
    <s v="Émargée"/>
    <x v="129"/>
    <s v="Félicien"/>
    <x v="5"/>
    <x v="128"/>
    <x v="0"/>
  </r>
  <r>
    <m/>
    <d v="2025-09-08T00:00:00"/>
    <x v="4"/>
    <x v="4"/>
    <s v="QR Code"/>
    <s v="Émargée"/>
    <x v="168"/>
    <s v="Chloé"/>
    <x v="4"/>
    <x v="166"/>
    <x v="1"/>
  </r>
  <r>
    <m/>
    <d v="2025-09-08T00:00:00"/>
    <x v="1"/>
    <x v="1"/>
    <s v="QR Code"/>
    <s v="Émargée"/>
    <x v="168"/>
    <s v="Chloé"/>
    <x v="1"/>
    <x v="166"/>
    <x v="1"/>
  </r>
  <r>
    <m/>
    <d v="2025-09-08T00:00:00"/>
    <x v="2"/>
    <x v="2"/>
    <s v="QR Code"/>
    <s v="Émargée"/>
    <x v="168"/>
    <s v="Chloé"/>
    <x v="2"/>
    <x v="166"/>
    <x v="1"/>
  </r>
  <r>
    <m/>
    <d v="2025-09-08T00:00:00"/>
    <x v="3"/>
    <x v="3"/>
    <s v="QR Code"/>
    <s v="Émargée"/>
    <x v="168"/>
    <s v="Chloé"/>
    <x v="3"/>
    <x v="166"/>
    <x v="1"/>
  </r>
  <r>
    <m/>
    <d v="2025-09-09T00:00:00"/>
    <x v="5"/>
    <x v="2"/>
    <s v="QR Code"/>
    <s v="Émargée"/>
    <x v="130"/>
    <s v="Arcadi"/>
    <x v="5"/>
    <x v="129"/>
    <x v="0"/>
  </r>
  <r>
    <m/>
    <d v="2025-09-09T00:00:00"/>
    <x v="5"/>
    <x v="2"/>
    <s v="QR Code"/>
    <s v="Émargée"/>
    <x v="131"/>
    <s v="Nicolas, Elie"/>
    <x v="5"/>
    <x v="130"/>
    <x v="0"/>
  </r>
  <r>
    <m/>
    <d v="2025-09-08T00:00:00"/>
    <x v="4"/>
    <x v="4"/>
    <s v="QR Code"/>
    <s v="Émargée"/>
    <x v="169"/>
    <s v="Noé"/>
    <x v="4"/>
    <x v="167"/>
    <x v="0"/>
  </r>
  <r>
    <m/>
    <d v="2025-09-08T00:00:00"/>
    <x v="1"/>
    <x v="1"/>
    <s v="QR Code"/>
    <s v="Émargée"/>
    <x v="169"/>
    <s v="Noé"/>
    <x v="1"/>
    <x v="167"/>
    <x v="0"/>
  </r>
  <r>
    <m/>
    <d v="2025-09-08T00:00:00"/>
    <x v="2"/>
    <x v="2"/>
    <s v="QR Code"/>
    <s v="Émargée"/>
    <x v="169"/>
    <s v="Noé"/>
    <x v="2"/>
    <x v="167"/>
    <x v="0"/>
  </r>
  <r>
    <m/>
    <d v="2025-09-08T00:00:00"/>
    <x v="3"/>
    <x v="3"/>
    <s v="QR Code"/>
    <s v="Émargée"/>
    <x v="169"/>
    <s v="Noé"/>
    <x v="3"/>
    <x v="167"/>
    <x v="1"/>
  </r>
  <r>
    <m/>
    <d v="2025-09-09T00:00:00"/>
    <x v="5"/>
    <x v="2"/>
    <s v="QR Code"/>
    <s v="Émargée"/>
    <x v="132"/>
    <s v="Pierre"/>
    <x v="5"/>
    <x v="131"/>
    <x v="0"/>
  </r>
  <r>
    <m/>
    <d v="2025-09-09T00:00:00"/>
    <x v="5"/>
    <x v="2"/>
    <s v="QR Code"/>
    <s v="Émargée"/>
    <x v="133"/>
    <s v="Killyan"/>
    <x v="5"/>
    <x v="132"/>
    <x v="0"/>
  </r>
  <r>
    <m/>
    <d v="2025-09-08T00:00:00"/>
    <x v="1"/>
    <x v="1"/>
    <s v="QR Code"/>
    <s v="Émargée"/>
    <x v="170"/>
    <s v="Guillaume"/>
    <x v="1"/>
    <x v="168"/>
    <x v="1"/>
  </r>
  <r>
    <m/>
    <d v="2025-09-08T00:00:00"/>
    <x v="2"/>
    <x v="2"/>
    <s v="QR Code"/>
    <s v="Émargée"/>
    <x v="170"/>
    <s v="Guillaume"/>
    <x v="2"/>
    <x v="168"/>
    <x v="1"/>
  </r>
  <r>
    <m/>
    <d v="2025-09-08T00:00:00"/>
    <x v="3"/>
    <x v="3"/>
    <s v="QR Code"/>
    <s v="Émargée"/>
    <x v="170"/>
    <s v="Guillaume"/>
    <x v="3"/>
    <x v="168"/>
    <x v="1"/>
  </r>
  <r>
    <m/>
    <d v="2025-09-09T00:00:00"/>
    <x v="5"/>
    <x v="2"/>
    <s v="QR Code"/>
    <s v="Émargée"/>
    <x v="134"/>
    <s v="Bilal"/>
    <x v="5"/>
    <x v="133"/>
    <x v="1"/>
  </r>
  <r>
    <m/>
    <d v="2025-09-09T00:00:00"/>
    <x v="5"/>
    <x v="2"/>
    <s v="QR Code"/>
    <s v="Émargée"/>
    <x v="135"/>
    <s v="Meiko"/>
    <x v="5"/>
    <x v="134"/>
    <x v="1"/>
  </r>
  <r>
    <m/>
    <d v="2025-09-08T00:00:00"/>
    <x v="4"/>
    <x v="4"/>
    <s v="QR Code"/>
    <s v="Émargée"/>
    <x v="171"/>
    <s v="Louis"/>
    <x v="4"/>
    <x v="169"/>
    <x v="0"/>
  </r>
  <r>
    <m/>
    <d v="2025-09-08T00:00:00"/>
    <x v="1"/>
    <x v="1"/>
    <s v="QR Code"/>
    <s v="Émargée"/>
    <x v="171"/>
    <s v="Louis"/>
    <x v="1"/>
    <x v="169"/>
    <x v="0"/>
  </r>
  <r>
    <m/>
    <d v="2025-09-08T00:00:00"/>
    <x v="2"/>
    <x v="2"/>
    <s v="QR Code"/>
    <s v="Émargée"/>
    <x v="171"/>
    <s v="Louis"/>
    <x v="2"/>
    <x v="169"/>
    <x v="0"/>
  </r>
  <r>
    <m/>
    <d v="2025-09-08T00:00:00"/>
    <x v="3"/>
    <x v="3"/>
    <s v="QR Code"/>
    <s v="Émargée"/>
    <x v="171"/>
    <s v="Louis"/>
    <x v="3"/>
    <x v="169"/>
    <x v="0"/>
  </r>
  <r>
    <m/>
    <d v="2025-09-09T00:00:00"/>
    <x v="5"/>
    <x v="2"/>
    <s v="QR Code"/>
    <s v="Émargée"/>
    <x v="136"/>
    <s v="Abel"/>
    <x v="5"/>
    <x v="135"/>
    <x v="0"/>
  </r>
  <r>
    <m/>
    <d v="2025-09-09T00:00:00"/>
    <x v="5"/>
    <x v="2"/>
    <s v="QR Code"/>
    <s v="Émargée"/>
    <x v="137"/>
    <s v="Geoffrey"/>
    <x v="5"/>
    <x v="136"/>
    <x v="0"/>
  </r>
  <r>
    <m/>
    <d v="2025-09-08T00:00:00"/>
    <x v="4"/>
    <x v="4"/>
    <s v="QR Code"/>
    <s v="Émargée"/>
    <x v="172"/>
    <s v="Hiromi"/>
    <x v="4"/>
    <x v="170"/>
    <x v="0"/>
  </r>
  <r>
    <m/>
    <d v="2025-09-08T00:00:00"/>
    <x v="1"/>
    <x v="1"/>
    <s v="QR Code"/>
    <s v="Émargée"/>
    <x v="172"/>
    <s v="Hiromi"/>
    <x v="1"/>
    <x v="170"/>
    <x v="0"/>
  </r>
  <r>
    <m/>
    <d v="2025-09-08T00:00:00"/>
    <x v="2"/>
    <x v="2"/>
    <s v="QR Code"/>
    <s v="Émargée"/>
    <x v="172"/>
    <s v="Hiromi"/>
    <x v="2"/>
    <x v="170"/>
    <x v="0"/>
  </r>
  <r>
    <m/>
    <d v="2025-09-08T00:00:00"/>
    <x v="3"/>
    <x v="3"/>
    <s v="QR Code"/>
    <s v="Émargée"/>
    <x v="172"/>
    <s v="Hiromi"/>
    <x v="3"/>
    <x v="170"/>
    <x v="0"/>
  </r>
  <r>
    <m/>
    <d v="2025-09-09T00:00:00"/>
    <x v="5"/>
    <x v="2"/>
    <s v="QR Code"/>
    <s v="Émargée"/>
    <x v="138"/>
    <s v="Kim-Hac-Tram"/>
    <x v="5"/>
    <x v="136"/>
    <x v="0"/>
  </r>
  <r>
    <m/>
    <d v="2025-09-09T00:00:00"/>
    <x v="5"/>
    <x v="2"/>
    <s v="QR Code"/>
    <s v="Émargée"/>
    <x v="139"/>
    <s v="Rébecca"/>
    <x v="5"/>
    <x v="137"/>
    <x v="1"/>
  </r>
  <r>
    <m/>
    <d v="2025-09-08T00:00:00"/>
    <x v="4"/>
    <x v="4"/>
    <s v="QR Code"/>
    <s v="Émargée"/>
    <x v="173"/>
    <s v="Paolo"/>
    <x v="4"/>
    <x v="171"/>
    <x v="1"/>
  </r>
  <r>
    <m/>
    <d v="2025-09-08T00:00:00"/>
    <x v="1"/>
    <x v="1"/>
    <s v="QR Code"/>
    <s v="Émargée"/>
    <x v="173"/>
    <s v="Paolo"/>
    <x v="1"/>
    <x v="171"/>
    <x v="1"/>
  </r>
  <r>
    <m/>
    <d v="2025-09-08T00:00:00"/>
    <x v="2"/>
    <x v="2"/>
    <s v="QR Code"/>
    <s v="Émargée"/>
    <x v="173"/>
    <s v="Paolo"/>
    <x v="2"/>
    <x v="171"/>
    <x v="1"/>
  </r>
  <r>
    <m/>
    <d v="2025-09-08T00:00:00"/>
    <x v="3"/>
    <x v="3"/>
    <s v="QR Code"/>
    <s v="Émargée"/>
    <x v="173"/>
    <s v="Paolo"/>
    <x v="3"/>
    <x v="171"/>
    <x v="1"/>
  </r>
  <r>
    <m/>
    <d v="2025-09-09T00:00:00"/>
    <x v="5"/>
    <x v="2"/>
    <s v="QR Code"/>
    <s v="Émargée"/>
    <x v="140"/>
    <s v="Nathan"/>
    <x v="5"/>
    <x v="138"/>
    <x v="1"/>
  </r>
  <r>
    <m/>
    <d v="2025-09-09T00:00:00"/>
    <x v="5"/>
    <x v="2"/>
    <s v="QR Code"/>
    <s v="Émargée"/>
    <x v="141"/>
    <s v="Alexandre"/>
    <x v="5"/>
    <x v="139"/>
    <x v="1"/>
  </r>
  <r>
    <m/>
    <d v="2025-09-08T00:00:00"/>
    <x v="1"/>
    <x v="1"/>
    <s v="QR Code"/>
    <s v="Émargée"/>
    <x v="174"/>
    <s v="Solveig"/>
    <x v="1"/>
    <x v="172"/>
    <x v="0"/>
  </r>
  <r>
    <m/>
    <d v="2025-09-08T00:00:00"/>
    <x v="2"/>
    <x v="2"/>
    <s v="QR Code"/>
    <s v="Émargée"/>
    <x v="174"/>
    <s v="Solveig"/>
    <x v="2"/>
    <x v="172"/>
    <x v="0"/>
  </r>
  <r>
    <m/>
    <d v="2025-09-08T00:00:00"/>
    <x v="3"/>
    <x v="3"/>
    <s v="QR Code"/>
    <s v="Émargée"/>
    <x v="174"/>
    <s v="Solveig"/>
    <x v="3"/>
    <x v="172"/>
    <x v="0"/>
  </r>
  <r>
    <m/>
    <d v="2025-09-09T00:00:00"/>
    <x v="5"/>
    <x v="2"/>
    <s v="QR Code"/>
    <s v="Émargée"/>
    <x v="142"/>
    <s v="Ariel, Eric"/>
    <x v="5"/>
    <x v="140"/>
    <x v="0"/>
  </r>
  <r>
    <m/>
    <d v="2025-09-09T00:00:00"/>
    <x v="5"/>
    <x v="2"/>
    <s v="QR Code"/>
    <s v="Émargée"/>
    <x v="209"/>
    <s v="Henri"/>
    <x v="5"/>
    <x v="207"/>
    <x v="0"/>
  </r>
  <r>
    <m/>
    <d v="2025-09-08T00:00:00"/>
    <x v="4"/>
    <x v="4"/>
    <s v="QR Code"/>
    <s v="Émargée"/>
    <x v="175"/>
    <s v="Manon"/>
    <x v="4"/>
    <x v="173"/>
    <x v="0"/>
  </r>
  <r>
    <m/>
    <d v="2025-09-08T00:00:00"/>
    <x v="1"/>
    <x v="1"/>
    <s v="QR Code"/>
    <s v="Émargée"/>
    <x v="175"/>
    <s v="Manon"/>
    <x v="1"/>
    <x v="173"/>
    <x v="0"/>
  </r>
  <r>
    <m/>
    <d v="2025-09-08T00:00:00"/>
    <x v="2"/>
    <x v="2"/>
    <s v="QR Code"/>
    <s v="Émargée"/>
    <x v="175"/>
    <s v="Manon"/>
    <x v="2"/>
    <x v="173"/>
    <x v="0"/>
  </r>
  <r>
    <m/>
    <d v="2025-09-08T00:00:00"/>
    <x v="3"/>
    <x v="3"/>
    <s v="QR Code"/>
    <s v="Émargée"/>
    <x v="175"/>
    <s v="Manon"/>
    <x v="3"/>
    <x v="173"/>
    <x v="0"/>
  </r>
  <r>
    <m/>
    <d v="2025-09-09T00:00:00"/>
    <x v="5"/>
    <x v="2"/>
    <s v="QR Code"/>
    <s v="Émargée"/>
    <x v="143"/>
    <s v="Siah"/>
    <x v="5"/>
    <x v="141"/>
    <x v="0"/>
  </r>
  <r>
    <m/>
    <d v="2025-09-09T00:00:00"/>
    <x v="5"/>
    <x v="2"/>
    <s v="QR Code"/>
    <s v="Émargée"/>
    <x v="144"/>
    <s v="Miho"/>
    <x v="5"/>
    <x v="142"/>
    <x v="0"/>
  </r>
  <r>
    <m/>
    <d v="2025-09-08T00:00:00"/>
    <x v="4"/>
    <x v="4"/>
    <s v="QR Code"/>
    <s v="Émargée"/>
    <x v="176"/>
    <s v="Mai"/>
    <x v="4"/>
    <x v="174"/>
    <x v="0"/>
  </r>
  <r>
    <m/>
    <d v="2025-09-08T00:00:00"/>
    <x v="1"/>
    <x v="1"/>
    <s v="QR Code"/>
    <s v="Émargée"/>
    <x v="176"/>
    <s v="Mai"/>
    <x v="1"/>
    <x v="174"/>
    <x v="0"/>
  </r>
  <r>
    <m/>
    <d v="2025-09-08T00:00:00"/>
    <x v="2"/>
    <x v="2"/>
    <s v="QR Code"/>
    <s v="Émargée"/>
    <x v="176"/>
    <s v="Mai"/>
    <x v="2"/>
    <x v="174"/>
    <x v="0"/>
  </r>
  <r>
    <m/>
    <d v="2025-09-08T00:00:00"/>
    <x v="3"/>
    <x v="3"/>
    <s v="QR Code"/>
    <s v="Émargée"/>
    <x v="176"/>
    <s v="Mai"/>
    <x v="3"/>
    <x v="174"/>
    <x v="0"/>
  </r>
  <r>
    <m/>
    <d v="2025-09-09T00:00:00"/>
    <x v="5"/>
    <x v="2"/>
    <s v="QR Code"/>
    <s v="Émargée"/>
    <x v="145"/>
    <s v="Clément"/>
    <x v="5"/>
    <x v="143"/>
    <x v="1"/>
  </r>
  <r>
    <m/>
    <d v="2025-09-09T00:00:00"/>
    <x v="5"/>
    <x v="2"/>
    <s v="QR Code"/>
    <s v="Émargée"/>
    <x v="146"/>
    <s v="Sarah"/>
    <x v="5"/>
    <x v="144"/>
    <x v="0"/>
  </r>
  <r>
    <m/>
    <d v="2025-09-08T00:00:00"/>
    <x v="4"/>
    <x v="4"/>
    <s v="QR Code"/>
    <s v="Émargée"/>
    <x v="177"/>
    <s v="Elisio"/>
    <x v="4"/>
    <x v="175"/>
    <x v="0"/>
  </r>
  <r>
    <m/>
    <d v="2025-09-08T00:00:00"/>
    <x v="1"/>
    <x v="1"/>
    <s v="QR Code"/>
    <s v="Émargée"/>
    <x v="177"/>
    <s v="Elisio"/>
    <x v="1"/>
    <x v="175"/>
    <x v="0"/>
  </r>
  <r>
    <m/>
    <d v="2025-09-08T00:00:00"/>
    <x v="2"/>
    <x v="2"/>
    <s v="QR Code"/>
    <s v="Émargée"/>
    <x v="177"/>
    <s v="Elisio"/>
    <x v="2"/>
    <x v="175"/>
    <x v="0"/>
  </r>
  <r>
    <m/>
    <d v="2025-09-08T00:00:00"/>
    <x v="3"/>
    <x v="3"/>
    <s v="QR Code"/>
    <s v="Émargée"/>
    <x v="177"/>
    <s v="Elisio"/>
    <x v="3"/>
    <x v="175"/>
    <x v="0"/>
  </r>
  <r>
    <m/>
    <d v="2025-09-09T00:00:00"/>
    <x v="5"/>
    <x v="2"/>
    <s v="QR Code"/>
    <s v="Émargée"/>
    <x v="147"/>
    <s v="Jules"/>
    <x v="5"/>
    <x v="145"/>
    <x v="1"/>
  </r>
  <r>
    <m/>
    <d v="2025-09-09T00:00:00"/>
    <x v="5"/>
    <x v="2"/>
    <s v="QR Code"/>
    <s v="Émargée"/>
    <x v="148"/>
    <s v="Armand"/>
    <x v="5"/>
    <x v="146"/>
    <x v="0"/>
  </r>
  <r>
    <m/>
    <d v="2025-09-08T00:00:00"/>
    <x v="4"/>
    <x v="4"/>
    <s v="QR Code"/>
    <s v="Émargée"/>
    <x v="178"/>
    <s v="Marina"/>
    <x v="4"/>
    <x v="176"/>
    <x v="0"/>
  </r>
  <r>
    <m/>
    <d v="2025-09-08T00:00:00"/>
    <x v="1"/>
    <x v="1"/>
    <s v="QR Code"/>
    <s v="Émargée"/>
    <x v="178"/>
    <s v="Marina"/>
    <x v="1"/>
    <x v="176"/>
    <x v="0"/>
  </r>
  <r>
    <m/>
    <d v="2025-09-08T00:00:00"/>
    <x v="2"/>
    <x v="2"/>
    <s v="QR Code"/>
    <s v="Émargée"/>
    <x v="178"/>
    <s v="Marina"/>
    <x v="2"/>
    <x v="176"/>
    <x v="0"/>
  </r>
  <r>
    <m/>
    <d v="2025-09-08T00:00:00"/>
    <x v="3"/>
    <x v="3"/>
    <s v="QR Code"/>
    <s v="Émargée"/>
    <x v="178"/>
    <s v="Marina"/>
    <x v="3"/>
    <x v="176"/>
    <x v="0"/>
  </r>
  <r>
    <m/>
    <d v="2025-09-09T00:00:00"/>
    <x v="5"/>
    <x v="2"/>
    <s v="QR Code"/>
    <s v="Émargée"/>
    <x v="149"/>
    <s v="Antoine"/>
    <x v="5"/>
    <x v="147"/>
    <x v="0"/>
  </r>
  <r>
    <m/>
    <d v="2025-09-09T00:00:00"/>
    <x v="5"/>
    <x v="2"/>
    <s v="QR Code"/>
    <s v="Émargée"/>
    <x v="210"/>
    <s v="Mélodie"/>
    <x v="5"/>
    <x v="208"/>
    <x v="0"/>
  </r>
  <r>
    <m/>
    <d v="2025-09-08T00:00:00"/>
    <x v="1"/>
    <x v="1"/>
    <s v="QR Code"/>
    <s v="Émargée"/>
    <x v="179"/>
    <s v="Sungwon"/>
    <x v="1"/>
    <x v="177"/>
    <x v="1"/>
  </r>
  <r>
    <m/>
    <d v="2025-09-08T00:00:00"/>
    <x v="2"/>
    <x v="2"/>
    <s v="QR Code"/>
    <s v="Émargée"/>
    <x v="179"/>
    <s v="Sungwon"/>
    <x v="2"/>
    <x v="177"/>
    <x v="1"/>
  </r>
  <r>
    <m/>
    <d v="2025-09-08T00:00:00"/>
    <x v="3"/>
    <x v="3"/>
    <s v="QR Code"/>
    <s v="Émargée"/>
    <x v="179"/>
    <s v="Sungwon"/>
    <x v="3"/>
    <x v="177"/>
    <x v="1"/>
  </r>
  <r>
    <m/>
    <d v="2025-09-09T00:00:00"/>
    <x v="5"/>
    <x v="2"/>
    <s v="QR Code"/>
    <s v="Émargée"/>
    <x v="150"/>
    <s v="Morgane"/>
    <x v="5"/>
    <x v="148"/>
    <x v="0"/>
  </r>
  <r>
    <m/>
    <d v="2025-09-09T00:00:00"/>
    <x v="5"/>
    <x v="2"/>
    <s v="QR Code"/>
    <s v="Émargée"/>
    <x v="151"/>
    <s v="Josserand"/>
    <x v="5"/>
    <x v="149"/>
    <x v="0"/>
  </r>
  <r>
    <m/>
    <d v="2025-09-08T00:00:00"/>
    <x v="4"/>
    <x v="4"/>
    <s v="QR Code"/>
    <s v="Émargée"/>
    <x v="180"/>
    <s v="Masaki"/>
    <x v="4"/>
    <x v="178"/>
    <x v="0"/>
  </r>
  <r>
    <m/>
    <d v="2025-09-08T00:00:00"/>
    <x v="1"/>
    <x v="1"/>
    <s v="QR Code"/>
    <s v="Émargée"/>
    <x v="180"/>
    <s v="Masaki"/>
    <x v="1"/>
    <x v="178"/>
    <x v="0"/>
  </r>
  <r>
    <m/>
    <d v="2025-09-08T00:00:00"/>
    <x v="2"/>
    <x v="2"/>
    <s v="QR Code"/>
    <s v="Émargée"/>
    <x v="180"/>
    <s v="Masaki"/>
    <x v="2"/>
    <x v="178"/>
    <x v="0"/>
  </r>
  <r>
    <m/>
    <d v="2025-09-08T00:00:00"/>
    <x v="3"/>
    <x v="3"/>
    <s v="QR Code"/>
    <s v="Émargée"/>
    <x v="180"/>
    <s v="Masaki"/>
    <x v="3"/>
    <x v="178"/>
    <x v="0"/>
  </r>
  <r>
    <m/>
    <d v="2025-09-09T00:00:00"/>
    <x v="5"/>
    <x v="2"/>
    <s v="QR Code"/>
    <s v="Émargée"/>
    <x v="152"/>
    <s v="Thomas"/>
    <x v="5"/>
    <x v="150"/>
    <x v="1"/>
  </r>
  <r>
    <m/>
    <d v="2025-09-09T00:00:00"/>
    <x v="5"/>
    <x v="2"/>
    <s v="QR Code"/>
    <s v="Émargée"/>
    <x v="153"/>
    <s v="Félix"/>
    <x v="5"/>
    <x v="151"/>
    <x v="0"/>
  </r>
  <r>
    <m/>
    <d v="2025-09-08T00:00:00"/>
    <x v="4"/>
    <x v="4"/>
    <s v="QR Code"/>
    <s v="Émargée"/>
    <x v="181"/>
    <s v="David"/>
    <x v="4"/>
    <x v="179"/>
    <x v="1"/>
  </r>
  <r>
    <m/>
    <d v="2025-09-08T00:00:00"/>
    <x v="1"/>
    <x v="1"/>
    <s v="QR Code"/>
    <s v="Émargée"/>
    <x v="181"/>
    <s v="David"/>
    <x v="1"/>
    <x v="179"/>
    <x v="1"/>
  </r>
  <r>
    <m/>
    <d v="2025-09-08T00:00:00"/>
    <x v="2"/>
    <x v="2"/>
    <s v="QR Code"/>
    <s v="Émargée"/>
    <x v="181"/>
    <s v="David"/>
    <x v="2"/>
    <x v="179"/>
    <x v="1"/>
  </r>
  <r>
    <m/>
    <d v="2025-09-08T00:00:00"/>
    <x v="3"/>
    <x v="3"/>
    <s v="QR Code"/>
    <s v="Émargée"/>
    <x v="181"/>
    <s v="David"/>
    <x v="3"/>
    <x v="179"/>
    <x v="1"/>
  </r>
  <r>
    <m/>
    <d v="2025-09-09T00:00:00"/>
    <x v="5"/>
    <x v="2"/>
    <s v="QR Code"/>
    <s v="Émargée"/>
    <x v="154"/>
    <s v="Étienne"/>
    <x v="5"/>
    <x v="152"/>
    <x v="0"/>
  </r>
  <r>
    <m/>
    <d v="2025-09-09T00:00:00"/>
    <x v="5"/>
    <x v="2"/>
    <s v="QR Code"/>
    <s v="Émargée"/>
    <x v="155"/>
    <s v="Dani"/>
    <x v="5"/>
    <x v="153"/>
    <x v="1"/>
  </r>
  <r>
    <m/>
    <d v="2025-09-08T00:00:00"/>
    <x v="4"/>
    <x v="4"/>
    <s v="QR Code"/>
    <s v="Émargée"/>
    <x v="182"/>
    <s v="Hinata"/>
    <x v="4"/>
    <x v="180"/>
    <x v="0"/>
  </r>
  <r>
    <m/>
    <d v="2025-09-08T00:00:00"/>
    <x v="1"/>
    <x v="1"/>
    <s v="QR Code"/>
    <s v="Émargée"/>
    <x v="182"/>
    <s v="Hinata"/>
    <x v="1"/>
    <x v="180"/>
    <x v="0"/>
  </r>
  <r>
    <m/>
    <d v="2025-09-08T00:00:00"/>
    <x v="2"/>
    <x v="2"/>
    <s v="QR Code"/>
    <s v="Émargée"/>
    <x v="182"/>
    <s v="Hinata"/>
    <x v="2"/>
    <x v="180"/>
    <x v="0"/>
  </r>
  <r>
    <m/>
    <d v="2025-09-08T00:00:00"/>
    <x v="3"/>
    <x v="3"/>
    <s v="QR Code"/>
    <s v="Émargée"/>
    <x v="182"/>
    <s v="Hinata"/>
    <x v="3"/>
    <x v="180"/>
    <x v="0"/>
  </r>
  <r>
    <m/>
    <d v="2025-09-09T00:00:00"/>
    <x v="5"/>
    <x v="2"/>
    <s v="QR Code"/>
    <s v="Émargée"/>
    <x v="156"/>
    <s v="Adrien"/>
    <x v="5"/>
    <x v="154"/>
    <x v="0"/>
  </r>
  <r>
    <m/>
    <d v="2025-09-09T00:00:00"/>
    <x v="5"/>
    <x v="2"/>
    <s v="QR Code"/>
    <s v="Émargée"/>
    <x v="157"/>
    <s v="Emile"/>
    <x v="5"/>
    <x v="155"/>
    <x v="0"/>
  </r>
  <r>
    <m/>
    <d v="2025-09-08T00:00:00"/>
    <x v="4"/>
    <x v="4"/>
    <s v="QR Code"/>
    <s v="Émargée"/>
    <x v="183"/>
    <s v="Yume"/>
    <x v="4"/>
    <x v="181"/>
    <x v="1"/>
  </r>
  <r>
    <m/>
    <d v="2025-09-08T00:00:00"/>
    <x v="1"/>
    <x v="1"/>
    <s v="QR Code"/>
    <s v="Émargée"/>
    <x v="183"/>
    <s v="Yume"/>
    <x v="1"/>
    <x v="181"/>
    <x v="1"/>
  </r>
  <r>
    <m/>
    <d v="2025-09-08T00:00:00"/>
    <x v="2"/>
    <x v="2"/>
    <s v="QR Code"/>
    <s v="Émargée"/>
    <x v="183"/>
    <s v="Yume"/>
    <x v="2"/>
    <x v="181"/>
    <x v="1"/>
  </r>
  <r>
    <m/>
    <d v="2025-09-08T00:00:00"/>
    <x v="3"/>
    <x v="3"/>
    <s v="QR Code"/>
    <s v="Émargée"/>
    <x v="183"/>
    <s v="Yume"/>
    <x v="3"/>
    <x v="181"/>
    <x v="1"/>
  </r>
  <r>
    <m/>
    <d v="2025-09-09T00:00:00"/>
    <x v="5"/>
    <x v="2"/>
    <s v="QR Code"/>
    <s v="Émargée"/>
    <x v="158"/>
    <s v="Pierre-Antoine"/>
    <x v="5"/>
    <x v="156"/>
    <x v="1"/>
  </r>
  <r>
    <m/>
    <d v="2025-09-09T00:00:00"/>
    <x v="5"/>
    <x v="2"/>
    <s v="QR Code"/>
    <s v="Émargée"/>
    <x v="159"/>
    <s v="Émile"/>
    <x v="5"/>
    <x v="157"/>
    <x v="0"/>
  </r>
  <r>
    <m/>
    <d v="2025-09-08T00:00:00"/>
    <x v="4"/>
    <x v="4"/>
    <s v="QR Code"/>
    <s v="Émargée"/>
    <x v="185"/>
    <s v="Clovis"/>
    <x v="4"/>
    <x v="183"/>
    <x v="0"/>
  </r>
  <r>
    <m/>
    <d v="2025-09-08T00:00:00"/>
    <x v="1"/>
    <x v="1"/>
    <s v="QR Code"/>
    <s v="Émargée"/>
    <x v="185"/>
    <s v="Clovis"/>
    <x v="1"/>
    <x v="183"/>
    <x v="0"/>
  </r>
  <r>
    <m/>
    <d v="2025-09-08T00:00:00"/>
    <x v="2"/>
    <x v="2"/>
    <s v="QR Code"/>
    <s v="Émargée"/>
    <x v="185"/>
    <s v="Clovis"/>
    <x v="2"/>
    <x v="183"/>
    <x v="0"/>
  </r>
  <r>
    <m/>
    <d v="2025-09-08T00:00:00"/>
    <x v="3"/>
    <x v="3"/>
    <s v="QR Code"/>
    <s v="Émargée"/>
    <x v="185"/>
    <s v="Clovis"/>
    <x v="3"/>
    <x v="183"/>
    <x v="0"/>
  </r>
  <r>
    <m/>
    <d v="2025-09-09T00:00:00"/>
    <x v="5"/>
    <x v="2"/>
    <s v="QR Code"/>
    <s v="Émargée"/>
    <x v="160"/>
    <s v="Pauline"/>
    <x v="5"/>
    <x v="158"/>
    <x v="0"/>
  </r>
  <r>
    <m/>
    <d v="2025-09-09T00:00:00"/>
    <x v="5"/>
    <x v="2"/>
    <s v="QR Code"/>
    <s v="Émargée"/>
    <x v="161"/>
    <s v="Estellie"/>
    <x v="5"/>
    <x v="159"/>
    <x v="0"/>
  </r>
  <r>
    <m/>
    <d v="2025-09-08T00:00:00"/>
    <x v="4"/>
    <x v="4"/>
    <s v="QR Code"/>
    <s v="Émargée"/>
    <x v="186"/>
    <s v="William"/>
    <x v="4"/>
    <x v="184"/>
    <x v="1"/>
  </r>
  <r>
    <m/>
    <d v="2025-09-08T00:00:00"/>
    <x v="1"/>
    <x v="1"/>
    <s v="QR Code"/>
    <s v="Émargée"/>
    <x v="186"/>
    <s v="William"/>
    <x v="1"/>
    <x v="184"/>
    <x v="1"/>
  </r>
  <r>
    <m/>
    <d v="2025-09-08T00:00:00"/>
    <x v="2"/>
    <x v="2"/>
    <s v="QR Code"/>
    <s v="Émargée"/>
    <x v="186"/>
    <s v="William"/>
    <x v="2"/>
    <x v="184"/>
    <x v="1"/>
  </r>
  <r>
    <m/>
    <d v="2025-09-08T00:00:00"/>
    <x v="3"/>
    <x v="3"/>
    <s v="QR Code"/>
    <s v="Émargée"/>
    <x v="186"/>
    <s v="William"/>
    <x v="3"/>
    <x v="184"/>
    <x v="1"/>
  </r>
  <r>
    <m/>
    <d v="2025-09-09T00:00:00"/>
    <x v="5"/>
    <x v="2"/>
    <s v="QR Code"/>
    <s v="Émargée"/>
    <x v="162"/>
    <s v="Nino"/>
    <x v="5"/>
    <x v="160"/>
    <x v="0"/>
  </r>
  <r>
    <m/>
    <d v="2025-09-09T00:00:00"/>
    <x v="5"/>
    <x v="2"/>
    <s v="QR Code"/>
    <s v="Émargée"/>
    <x v="163"/>
    <s v="Cyrielle"/>
    <x v="5"/>
    <x v="161"/>
    <x v="0"/>
  </r>
  <r>
    <m/>
    <d v="2025-09-08T00:00:00"/>
    <x v="4"/>
    <x v="4"/>
    <s v="QR Code"/>
    <s v="Émargée"/>
    <x v="187"/>
    <s v="Ivan"/>
    <x v="4"/>
    <x v="185"/>
    <x v="1"/>
  </r>
  <r>
    <m/>
    <d v="2025-09-08T00:00:00"/>
    <x v="1"/>
    <x v="1"/>
    <s v="QR Code"/>
    <s v="Émargée"/>
    <x v="187"/>
    <s v="Ivan"/>
    <x v="1"/>
    <x v="185"/>
    <x v="1"/>
  </r>
  <r>
    <m/>
    <d v="2025-09-08T00:00:00"/>
    <x v="2"/>
    <x v="2"/>
    <s v="QR Code"/>
    <s v="Émargée"/>
    <x v="187"/>
    <s v="Ivan"/>
    <x v="2"/>
    <x v="185"/>
    <x v="1"/>
  </r>
  <r>
    <m/>
    <d v="2025-09-08T00:00:00"/>
    <x v="3"/>
    <x v="3"/>
    <s v="QR Code"/>
    <s v="Émargée"/>
    <x v="187"/>
    <s v="Ivan"/>
    <x v="3"/>
    <x v="185"/>
    <x v="1"/>
  </r>
  <r>
    <m/>
    <d v="2025-09-09T00:00:00"/>
    <x v="5"/>
    <x v="2"/>
    <s v="QR Code"/>
    <s v="Émargée"/>
    <x v="164"/>
    <s v="Chloë"/>
    <x v="5"/>
    <x v="162"/>
    <x v="1"/>
  </r>
  <r>
    <m/>
    <d v="2025-09-09T00:00:00"/>
    <x v="5"/>
    <x v="2"/>
    <s v="QR Code"/>
    <s v="Émargée"/>
    <x v="165"/>
    <s v="Soni-Sesto"/>
    <x v="5"/>
    <x v="163"/>
    <x v="1"/>
  </r>
  <r>
    <m/>
    <d v="2025-09-08T00:00:00"/>
    <x v="4"/>
    <x v="4"/>
    <s v="QR Code"/>
    <s v="Émargée"/>
    <x v="188"/>
    <s v="Stan"/>
    <x v="4"/>
    <x v="186"/>
    <x v="0"/>
  </r>
  <r>
    <m/>
    <d v="2025-09-08T00:00:00"/>
    <x v="1"/>
    <x v="1"/>
    <s v="QR Code"/>
    <s v="Émargée"/>
    <x v="188"/>
    <s v="Stan"/>
    <x v="1"/>
    <x v="186"/>
    <x v="0"/>
  </r>
  <r>
    <m/>
    <d v="2025-09-08T00:00:00"/>
    <x v="2"/>
    <x v="2"/>
    <s v="QR Code"/>
    <s v="Émargée"/>
    <x v="188"/>
    <s v="Stan"/>
    <x v="2"/>
    <x v="186"/>
    <x v="0"/>
  </r>
  <r>
    <m/>
    <d v="2025-09-08T00:00:00"/>
    <x v="3"/>
    <x v="3"/>
    <s v="QR Code"/>
    <s v="Émargée"/>
    <x v="188"/>
    <s v="Stan"/>
    <x v="3"/>
    <x v="186"/>
    <x v="0"/>
  </r>
  <r>
    <m/>
    <d v="2025-09-09T00:00:00"/>
    <x v="5"/>
    <x v="2"/>
    <s v="QR Code"/>
    <s v="Émargée"/>
    <x v="166"/>
    <s v="Marie"/>
    <x v="5"/>
    <x v="164"/>
    <x v="1"/>
  </r>
  <r>
    <m/>
    <d v="2025-09-09T00:00:00"/>
    <x v="5"/>
    <x v="2"/>
    <s v="QR Code"/>
    <s v="Émargée"/>
    <x v="168"/>
    <s v="Chloé"/>
    <x v="5"/>
    <x v="166"/>
    <x v="1"/>
  </r>
  <r>
    <m/>
    <d v="2025-09-08T00:00:00"/>
    <x v="4"/>
    <x v="4"/>
    <s v="QR Code"/>
    <s v="Émargée"/>
    <x v="189"/>
    <s v="Alice"/>
    <x v="4"/>
    <x v="187"/>
    <x v="0"/>
  </r>
  <r>
    <m/>
    <d v="2025-09-08T00:00:00"/>
    <x v="1"/>
    <x v="1"/>
    <s v="QR Code"/>
    <s v="Émargée"/>
    <x v="189"/>
    <s v="Alice"/>
    <x v="1"/>
    <x v="187"/>
    <x v="0"/>
  </r>
  <r>
    <m/>
    <d v="2025-09-08T00:00:00"/>
    <x v="2"/>
    <x v="2"/>
    <s v="QR Code"/>
    <s v="Émargée"/>
    <x v="189"/>
    <s v="Alice"/>
    <x v="2"/>
    <x v="187"/>
    <x v="0"/>
  </r>
  <r>
    <m/>
    <d v="2025-09-08T00:00:00"/>
    <x v="3"/>
    <x v="3"/>
    <s v="QR Code"/>
    <s v="Émargée"/>
    <x v="189"/>
    <s v="Alice"/>
    <x v="3"/>
    <x v="187"/>
    <x v="0"/>
  </r>
  <r>
    <m/>
    <d v="2025-09-09T00:00:00"/>
    <x v="5"/>
    <x v="2"/>
    <s v="QR Code"/>
    <s v="Émargée"/>
    <x v="169"/>
    <s v="Noé"/>
    <x v="5"/>
    <x v="167"/>
    <x v="1"/>
  </r>
  <r>
    <m/>
    <d v="2025-09-09T00:00:00"/>
    <x v="5"/>
    <x v="2"/>
    <s v="QR Code"/>
    <s v="Émargée"/>
    <x v="170"/>
    <s v="Guillaume"/>
    <x v="5"/>
    <x v="168"/>
    <x v="1"/>
  </r>
  <r>
    <m/>
    <d v="2025-09-08T00:00:00"/>
    <x v="4"/>
    <x v="4"/>
    <s v="QR Code"/>
    <s v="Émargée"/>
    <x v="190"/>
    <s v="Célestin"/>
    <x v="4"/>
    <x v="188"/>
    <x v="0"/>
  </r>
  <r>
    <m/>
    <d v="2025-09-08T00:00:00"/>
    <x v="1"/>
    <x v="1"/>
    <s v="QR Code"/>
    <s v="Émargée"/>
    <x v="190"/>
    <s v="Célestin"/>
    <x v="1"/>
    <x v="188"/>
    <x v="0"/>
  </r>
  <r>
    <m/>
    <d v="2025-09-08T00:00:00"/>
    <x v="2"/>
    <x v="2"/>
    <s v="QR Code"/>
    <s v="Émargée"/>
    <x v="190"/>
    <s v="Célestin"/>
    <x v="2"/>
    <x v="188"/>
    <x v="0"/>
  </r>
  <r>
    <m/>
    <d v="2025-09-08T00:00:00"/>
    <x v="3"/>
    <x v="3"/>
    <s v="QR Code"/>
    <s v="Émargée"/>
    <x v="190"/>
    <s v="Célestin"/>
    <x v="3"/>
    <x v="188"/>
    <x v="0"/>
  </r>
  <r>
    <m/>
    <d v="2025-09-09T00:00:00"/>
    <x v="5"/>
    <x v="2"/>
    <s v="QR Code"/>
    <s v="Émargée"/>
    <x v="171"/>
    <s v="Louis"/>
    <x v="5"/>
    <x v="169"/>
    <x v="0"/>
  </r>
  <r>
    <m/>
    <d v="2025-09-09T00:00:00"/>
    <x v="5"/>
    <x v="2"/>
    <s v="QR Code"/>
    <s v="Émargée"/>
    <x v="172"/>
    <s v="Hiromi"/>
    <x v="5"/>
    <x v="170"/>
    <x v="0"/>
  </r>
  <r>
    <m/>
    <d v="2025-09-08T00:00:00"/>
    <x v="4"/>
    <x v="4"/>
    <s v="QR Code"/>
    <s v="Émargée"/>
    <x v="191"/>
    <s v="Afonso"/>
    <x v="4"/>
    <x v="189"/>
    <x v="1"/>
  </r>
  <r>
    <m/>
    <d v="2025-09-08T00:00:00"/>
    <x v="1"/>
    <x v="1"/>
    <s v="QR Code"/>
    <s v="Émargée"/>
    <x v="191"/>
    <s v="Afonso"/>
    <x v="1"/>
    <x v="189"/>
    <x v="1"/>
  </r>
  <r>
    <m/>
    <d v="2025-09-08T00:00:00"/>
    <x v="2"/>
    <x v="2"/>
    <s v="QR Code"/>
    <s v="Émargée"/>
    <x v="191"/>
    <s v="Afonso"/>
    <x v="2"/>
    <x v="189"/>
    <x v="1"/>
  </r>
  <r>
    <m/>
    <d v="2025-09-08T00:00:00"/>
    <x v="3"/>
    <x v="3"/>
    <s v="QR Code"/>
    <s v="Émargée"/>
    <x v="191"/>
    <s v="Afonso"/>
    <x v="3"/>
    <x v="189"/>
    <x v="1"/>
  </r>
  <r>
    <m/>
    <d v="2025-09-09T00:00:00"/>
    <x v="5"/>
    <x v="2"/>
    <s v="QR Code"/>
    <s v="Émargée"/>
    <x v="173"/>
    <s v="Paolo"/>
    <x v="5"/>
    <x v="171"/>
    <x v="1"/>
  </r>
  <r>
    <m/>
    <d v="2025-09-09T00:00:00"/>
    <x v="5"/>
    <x v="2"/>
    <s v="QR Code"/>
    <s v="Émargée"/>
    <x v="174"/>
    <s v="Solveig"/>
    <x v="5"/>
    <x v="172"/>
    <x v="0"/>
  </r>
  <r>
    <m/>
    <d v="2025-09-08T00:00:00"/>
    <x v="4"/>
    <x v="4"/>
    <s v="QR Code"/>
    <s v="Émargée"/>
    <x v="192"/>
    <s v="Matéo"/>
    <x v="4"/>
    <x v="190"/>
    <x v="1"/>
  </r>
  <r>
    <m/>
    <d v="2025-09-08T00:00:00"/>
    <x v="1"/>
    <x v="1"/>
    <s v="QR Code"/>
    <s v="Émargée"/>
    <x v="192"/>
    <s v="Matéo"/>
    <x v="1"/>
    <x v="190"/>
    <x v="1"/>
  </r>
  <r>
    <m/>
    <d v="2025-09-08T00:00:00"/>
    <x v="2"/>
    <x v="2"/>
    <s v="QR Code"/>
    <s v="Émargée"/>
    <x v="192"/>
    <s v="Matéo"/>
    <x v="2"/>
    <x v="190"/>
    <x v="1"/>
  </r>
  <r>
    <m/>
    <d v="2025-09-08T00:00:00"/>
    <x v="3"/>
    <x v="3"/>
    <s v="QR Code"/>
    <s v="Émargée"/>
    <x v="192"/>
    <s v="Matéo"/>
    <x v="3"/>
    <x v="190"/>
    <x v="1"/>
  </r>
  <r>
    <m/>
    <d v="2025-09-09T00:00:00"/>
    <x v="5"/>
    <x v="2"/>
    <s v="QR Code"/>
    <s v="Émargée"/>
    <x v="175"/>
    <s v="Manon"/>
    <x v="5"/>
    <x v="173"/>
    <x v="0"/>
  </r>
  <r>
    <m/>
    <d v="2025-09-09T00:00:00"/>
    <x v="5"/>
    <x v="2"/>
    <s v="QR Code"/>
    <s v="Émargée"/>
    <x v="176"/>
    <s v="Mai"/>
    <x v="5"/>
    <x v="174"/>
    <x v="0"/>
  </r>
  <r>
    <m/>
    <d v="2025-09-08T00:00:00"/>
    <x v="4"/>
    <x v="4"/>
    <s v="QR Code"/>
    <s v="Émargée"/>
    <x v="193"/>
    <s v="Ivan"/>
    <x v="4"/>
    <x v="191"/>
    <x v="0"/>
  </r>
  <r>
    <m/>
    <d v="2025-09-08T00:00:00"/>
    <x v="1"/>
    <x v="1"/>
    <s v="QR Code"/>
    <s v="Émargée"/>
    <x v="193"/>
    <s v="Ivan"/>
    <x v="1"/>
    <x v="191"/>
    <x v="0"/>
  </r>
  <r>
    <m/>
    <d v="2025-09-08T00:00:00"/>
    <x v="2"/>
    <x v="2"/>
    <s v="QR Code"/>
    <s v="Émargée"/>
    <x v="193"/>
    <s v="Ivan"/>
    <x v="2"/>
    <x v="191"/>
    <x v="0"/>
  </r>
  <r>
    <m/>
    <d v="2025-09-08T00:00:00"/>
    <x v="3"/>
    <x v="3"/>
    <s v="QR Code"/>
    <s v="Émargée"/>
    <x v="193"/>
    <s v="Ivan"/>
    <x v="3"/>
    <x v="191"/>
    <x v="0"/>
  </r>
  <r>
    <m/>
    <d v="2025-09-09T00:00:00"/>
    <x v="5"/>
    <x v="2"/>
    <s v="QR Code"/>
    <s v="Émargée"/>
    <x v="177"/>
    <s v="Elisio"/>
    <x v="5"/>
    <x v="175"/>
    <x v="0"/>
  </r>
  <r>
    <m/>
    <d v="2025-09-09T00:00:00"/>
    <x v="5"/>
    <x v="2"/>
    <s v="QR Code"/>
    <s v="Émargée"/>
    <x v="178"/>
    <s v="Marina"/>
    <x v="5"/>
    <x v="176"/>
    <x v="1"/>
  </r>
  <r>
    <m/>
    <d v="2025-09-08T00:00:00"/>
    <x v="4"/>
    <x v="4"/>
    <s v="QR Code"/>
    <s v="Émargée"/>
    <x v="194"/>
    <s v="Marius"/>
    <x v="4"/>
    <x v="192"/>
    <x v="0"/>
  </r>
  <r>
    <m/>
    <d v="2025-09-08T00:00:00"/>
    <x v="1"/>
    <x v="1"/>
    <s v="QR Code"/>
    <s v="Émargée"/>
    <x v="194"/>
    <s v="Marius"/>
    <x v="1"/>
    <x v="192"/>
    <x v="0"/>
  </r>
  <r>
    <m/>
    <d v="2025-09-08T00:00:00"/>
    <x v="2"/>
    <x v="2"/>
    <s v="QR Code"/>
    <s v="Émargée"/>
    <x v="194"/>
    <s v="Marius"/>
    <x v="2"/>
    <x v="192"/>
    <x v="1"/>
  </r>
  <r>
    <m/>
    <d v="2025-09-08T00:00:00"/>
    <x v="3"/>
    <x v="3"/>
    <s v="QR Code"/>
    <s v="Émargée"/>
    <x v="194"/>
    <s v="Marius"/>
    <x v="3"/>
    <x v="192"/>
    <x v="0"/>
  </r>
  <r>
    <m/>
    <d v="2025-09-09T00:00:00"/>
    <x v="5"/>
    <x v="2"/>
    <s v="QR Code"/>
    <s v="Émargée"/>
    <x v="179"/>
    <s v="Sungwon"/>
    <x v="5"/>
    <x v="177"/>
    <x v="1"/>
  </r>
  <r>
    <m/>
    <d v="2025-09-09T00:00:00"/>
    <x v="5"/>
    <x v="2"/>
    <s v="QR Code"/>
    <s v="Émargée"/>
    <x v="180"/>
    <s v="Masaki"/>
    <x v="5"/>
    <x v="178"/>
    <x v="0"/>
  </r>
  <r>
    <m/>
    <d v="2025-09-08T00:00:00"/>
    <x v="4"/>
    <x v="4"/>
    <s v="QR Code"/>
    <s v="Émargée"/>
    <x v="195"/>
    <s v="Camille"/>
    <x v="4"/>
    <x v="193"/>
    <x v="1"/>
  </r>
  <r>
    <m/>
    <d v="2025-09-08T00:00:00"/>
    <x v="1"/>
    <x v="1"/>
    <s v="QR Code"/>
    <s v="Émargée"/>
    <x v="195"/>
    <s v="Camille"/>
    <x v="1"/>
    <x v="193"/>
    <x v="1"/>
  </r>
  <r>
    <m/>
    <d v="2025-09-08T00:00:00"/>
    <x v="2"/>
    <x v="2"/>
    <s v="QR Code"/>
    <s v="Émargée"/>
    <x v="195"/>
    <s v="Camille"/>
    <x v="2"/>
    <x v="193"/>
    <x v="1"/>
  </r>
  <r>
    <m/>
    <d v="2025-09-08T00:00:00"/>
    <x v="3"/>
    <x v="3"/>
    <s v="QR Code"/>
    <s v="Émargée"/>
    <x v="195"/>
    <s v="Camille"/>
    <x v="3"/>
    <x v="193"/>
    <x v="1"/>
  </r>
  <r>
    <m/>
    <d v="2025-09-09T00:00:00"/>
    <x v="5"/>
    <x v="2"/>
    <s v="QR Code"/>
    <s v="Émargée"/>
    <x v="181"/>
    <s v="David"/>
    <x v="5"/>
    <x v="179"/>
    <x v="1"/>
  </r>
  <r>
    <m/>
    <d v="2025-09-09T00:00:00"/>
    <x v="5"/>
    <x v="2"/>
    <s v="QR Code"/>
    <s v="Émargée"/>
    <x v="182"/>
    <s v="Hinata"/>
    <x v="5"/>
    <x v="180"/>
    <x v="0"/>
  </r>
  <r>
    <m/>
    <d v="2025-09-08T00:00:00"/>
    <x v="4"/>
    <x v="4"/>
    <s v="QR Code"/>
    <s v="Émargée"/>
    <x v="196"/>
    <s v="Guillaume"/>
    <x v="4"/>
    <x v="194"/>
    <x v="0"/>
  </r>
  <r>
    <m/>
    <d v="2025-09-08T00:00:00"/>
    <x v="1"/>
    <x v="1"/>
    <s v="QR Code"/>
    <s v="Émargée"/>
    <x v="196"/>
    <s v="Guillaume"/>
    <x v="1"/>
    <x v="194"/>
    <x v="0"/>
  </r>
  <r>
    <m/>
    <d v="2025-09-08T00:00:00"/>
    <x v="2"/>
    <x v="2"/>
    <s v="QR Code"/>
    <s v="Émargée"/>
    <x v="196"/>
    <s v="Guillaume"/>
    <x v="2"/>
    <x v="194"/>
    <x v="0"/>
  </r>
  <r>
    <m/>
    <d v="2025-09-08T00:00:00"/>
    <x v="3"/>
    <x v="3"/>
    <s v="QR Code"/>
    <s v="Émargée"/>
    <x v="196"/>
    <s v="Guillaume"/>
    <x v="3"/>
    <x v="194"/>
    <x v="0"/>
  </r>
  <r>
    <m/>
    <d v="2025-09-09T00:00:00"/>
    <x v="5"/>
    <x v="2"/>
    <s v="QR Code"/>
    <s v="Émargée"/>
    <x v="183"/>
    <s v="Yume"/>
    <x v="5"/>
    <x v="181"/>
    <x v="1"/>
  </r>
  <r>
    <m/>
    <d v="2025-09-09T00:00:00"/>
    <x v="5"/>
    <x v="2"/>
    <s v="QR Code"/>
    <s v="Émargée"/>
    <x v="185"/>
    <s v="Clovis"/>
    <x v="5"/>
    <x v="183"/>
    <x v="0"/>
  </r>
  <r>
    <m/>
    <d v="2025-09-08T00:00:00"/>
    <x v="4"/>
    <x v="4"/>
    <s v="QR Code"/>
    <s v="Émargée"/>
    <x v="197"/>
    <s v="Louise"/>
    <x v="4"/>
    <x v="195"/>
    <x v="0"/>
  </r>
  <r>
    <m/>
    <d v="2025-09-08T00:00:00"/>
    <x v="1"/>
    <x v="1"/>
    <s v="QR Code"/>
    <s v="Émargée"/>
    <x v="197"/>
    <s v="Louise"/>
    <x v="1"/>
    <x v="195"/>
    <x v="0"/>
  </r>
  <r>
    <m/>
    <d v="2025-09-08T00:00:00"/>
    <x v="2"/>
    <x v="2"/>
    <s v="QR Code"/>
    <s v="Émargée"/>
    <x v="197"/>
    <s v="Louise"/>
    <x v="2"/>
    <x v="195"/>
    <x v="0"/>
  </r>
  <r>
    <m/>
    <d v="2025-09-08T00:00:00"/>
    <x v="3"/>
    <x v="3"/>
    <s v="QR Code"/>
    <s v="Émargée"/>
    <x v="197"/>
    <s v="Louise"/>
    <x v="3"/>
    <x v="195"/>
    <x v="0"/>
  </r>
  <r>
    <m/>
    <d v="2025-09-09T00:00:00"/>
    <x v="5"/>
    <x v="2"/>
    <s v="QR Code"/>
    <s v="Émargée"/>
    <x v="186"/>
    <s v="William"/>
    <x v="5"/>
    <x v="184"/>
    <x v="1"/>
  </r>
  <r>
    <m/>
    <d v="2025-09-09T00:00:00"/>
    <x v="5"/>
    <x v="2"/>
    <s v="QR Code"/>
    <s v="Émargée"/>
    <x v="187"/>
    <s v="Ivan"/>
    <x v="5"/>
    <x v="185"/>
    <x v="1"/>
  </r>
  <r>
    <m/>
    <d v="2025-09-08T00:00:00"/>
    <x v="1"/>
    <x v="1"/>
    <s v="QR Code"/>
    <s v="Émargée"/>
    <x v="198"/>
    <s v="Héloïse"/>
    <x v="1"/>
    <x v="196"/>
    <x v="0"/>
  </r>
  <r>
    <m/>
    <d v="2025-09-08T00:00:00"/>
    <x v="2"/>
    <x v="2"/>
    <s v="QR Code"/>
    <s v="Émargée"/>
    <x v="198"/>
    <s v="Héloïse"/>
    <x v="2"/>
    <x v="196"/>
    <x v="0"/>
  </r>
  <r>
    <m/>
    <d v="2025-09-08T00:00:00"/>
    <x v="3"/>
    <x v="3"/>
    <s v="QR Code"/>
    <s v="Émargée"/>
    <x v="198"/>
    <s v="Héloïse"/>
    <x v="3"/>
    <x v="196"/>
    <x v="0"/>
  </r>
  <r>
    <m/>
    <d v="2025-09-09T00:00:00"/>
    <x v="5"/>
    <x v="2"/>
    <s v="QR Code"/>
    <s v="Émargée"/>
    <x v="188"/>
    <s v="Stan"/>
    <x v="5"/>
    <x v="186"/>
    <x v="0"/>
  </r>
  <r>
    <m/>
    <d v="2025-09-09T00:00:00"/>
    <x v="5"/>
    <x v="2"/>
    <s v="QR Code"/>
    <s v="Émargée"/>
    <x v="189"/>
    <s v="Alice"/>
    <x v="5"/>
    <x v="187"/>
    <x v="0"/>
  </r>
  <r>
    <m/>
    <d v="2025-09-08T00:00:00"/>
    <x v="4"/>
    <x v="4"/>
    <s v="QR Code"/>
    <s v="Émargée"/>
    <x v="199"/>
    <s v="Mattéo"/>
    <x v="4"/>
    <x v="197"/>
    <x v="1"/>
  </r>
  <r>
    <m/>
    <d v="2025-09-08T00:00:00"/>
    <x v="1"/>
    <x v="1"/>
    <s v="QR Code"/>
    <s v="Émargée"/>
    <x v="199"/>
    <s v="Mattéo"/>
    <x v="1"/>
    <x v="197"/>
    <x v="1"/>
  </r>
  <r>
    <m/>
    <d v="2025-09-08T00:00:00"/>
    <x v="2"/>
    <x v="2"/>
    <s v="QR Code"/>
    <s v="Émargée"/>
    <x v="199"/>
    <s v="Mattéo"/>
    <x v="2"/>
    <x v="197"/>
    <x v="1"/>
  </r>
  <r>
    <m/>
    <d v="2025-09-08T00:00:00"/>
    <x v="3"/>
    <x v="3"/>
    <s v="QR Code"/>
    <s v="Émargée"/>
    <x v="199"/>
    <s v="Mattéo"/>
    <x v="3"/>
    <x v="197"/>
    <x v="1"/>
  </r>
  <r>
    <m/>
    <d v="2025-09-09T00:00:00"/>
    <x v="5"/>
    <x v="2"/>
    <s v="QR Code"/>
    <s v="Émargée"/>
    <x v="190"/>
    <s v="Célestin"/>
    <x v="5"/>
    <x v="188"/>
    <x v="0"/>
  </r>
  <r>
    <m/>
    <d v="2025-09-09T00:00:00"/>
    <x v="5"/>
    <x v="2"/>
    <s v="QR Code"/>
    <s v="Émargée"/>
    <x v="191"/>
    <s v="Afonso"/>
    <x v="5"/>
    <x v="189"/>
    <x v="1"/>
  </r>
  <r>
    <m/>
    <d v="2025-09-08T00:00:00"/>
    <x v="4"/>
    <x v="4"/>
    <s v="QR Code"/>
    <s v="Émargée"/>
    <x v="200"/>
    <s v="David"/>
    <x v="4"/>
    <x v="198"/>
    <x v="0"/>
  </r>
  <r>
    <m/>
    <d v="2025-09-08T00:00:00"/>
    <x v="1"/>
    <x v="1"/>
    <s v="QR Code"/>
    <s v="Émargée"/>
    <x v="200"/>
    <s v="David"/>
    <x v="1"/>
    <x v="198"/>
    <x v="0"/>
  </r>
  <r>
    <m/>
    <d v="2025-09-08T00:00:00"/>
    <x v="2"/>
    <x v="2"/>
    <s v="QR Code"/>
    <s v="Émargée"/>
    <x v="200"/>
    <s v="David"/>
    <x v="2"/>
    <x v="198"/>
    <x v="0"/>
  </r>
  <r>
    <m/>
    <d v="2025-09-08T00:00:00"/>
    <x v="3"/>
    <x v="3"/>
    <s v="QR Code"/>
    <s v="Émargée"/>
    <x v="200"/>
    <s v="David"/>
    <x v="3"/>
    <x v="198"/>
    <x v="0"/>
  </r>
  <r>
    <m/>
    <d v="2025-09-09T00:00:00"/>
    <x v="5"/>
    <x v="2"/>
    <s v="QR Code"/>
    <s v="Émargée"/>
    <x v="192"/>
    <s v="Matéo"/>
    <x v="5"/>
    <x v="190"/>
    <x v="1"/>
  </r>
  <r>
    <m/>
    <d v="2025-09-09T00:00:00"/>
    <x v="5"/>
    <x v="2"/>
    <s v="QR Code"/>
    <s v="Émargée"/>
    <x v="193"/>
    <s v="Ivan"/>
    <x v="5"/>
    <x v="191"/>
    <x v="0"/>
  </r>
  <r>
    <m/>
    <d v="2025-09-08T00:00:00"/>
    <x v="4"/>
    <x v="4"/>
    <s v="QR Code"/>
    <s v="Émargée"/>
    <x v="201"/>
    <s v="Gwenaël"/>
    <x v="4"/>
    <x v="199"/>
    <x v="0"/>
  </r>
  <r>
    <m/>
    <d v="2025-09-08T00:00:00"/>
    <x v="1"/>
    <x v="1"/>
    <s v="QR Code"/>
    <s v="Émargée"/>
    <x v="201"/>
    <s v="Gwenaël"/>
    <x v="1"/>
    <x v="199"/>
    <x v="0"/>
  </r>
  <r>
    <m/>
    <d v="2025-09-08T00:00:00"/>
    <x v="2"/>
    <x v="2"/>
    <s v="QR Code"/>
    <s v="Émargée"/>
    <x v="201"/>
    <s v="Gwenaël"/>
    <x v="2"/>
    <x v="199"/>
    <x v="0"/>
  </r>
  <r>
    <m/>
    <d v="2025-09-08T00:00:00"/>
    <x v="3"/>
    <x v="3"/>
    <s v="QR Code"/>
    <s v="Émargée"/>
    <x v="201"/>
    <s v="Gwenaël"/>
    <x v="3"/>
    <x v="199"/>
    <x v="0"/>
  </r>
  <r>
    <m/>
    <d v="2025-09-09T00:00:00"/>
    <x v="5"/>
    <x v="2"/>
    <s v="QR Code"/>
    <s v="Émargée"/>
    <x v="194"/>
    <s v="Marius"/>
    <x v="5"/>
    <x v="192"/>
    <x v="0"/>
  </r>
  <r>
    <m/>
    <d v="2025-09-09T00:00:00"/>
    <x v="5"/>
    <x v="2"/>
    <s v="QR Code"/>
    <s v="Émargée"/>
    <x v="195"/>
    <s v="Camille"/>
    <x v="5"/>
    <x v="193"/>
    <x v="1"/>
  </r>
  <r>
    <m/>
    <d v="2025-09-08T00:00:00"/>
    <x v="4"/>
    <x v="4"/>
    <s v="QR Code"/>
    <s v="Émargée"/>
    <x v="202"/>
    <s v="Tomas"/>
    <x v="4"/>
    <x v="200"/>
    <x v="0"/>
  </r>
  <r>
    <m/>
    <d v="2025-09-08T00:00:00"/>
    <x v="1"/>
    <x v="1"/>
    <s v="QR Code"/>
    <s v="Émargée"/>
    <x v="202"/>
    <s v="Tomas"/>
    <x v="1"/>
    <x v="200"/>
    <x v="0"/>
  </r>
  <r>
    <m/>
    <d v="2025-09-08T00:00:00"/>
    <x v="2"/>
    <x v="2"/>
    <s v="QR Code"/>
    <s v="Émargée"/>
    <x v="202"/>
    <s v="Tomas"/>
    <x v="2"/>
    <x v="200"/>
    <x v="0"/>
  </r>
  <r>
    <m/>
    <d v="2025-09-08T00:00:00"/>
    <x v="3"/>
    <x v="3"/>
    <s v="QR Code"/>
    <s v="Émargée"/>
    <x v="202"/>
    <s v="Tomas"/>
    <x v="3"/>
    <x v="200"/>
    <x v="0"/>
  </r>
  <r>
    <m/>
    <d v="2025-09-09T00:00:00"/>
    <x v="5"/>
    <x v="2"/>
    <s v="QR Code"/>
    <s v="Émargée"/>
    <x v="196"/>
    <s v="Guillaume"/>
    <x v="5"/>
    <x v="194"/>
    <x v="0"/>
  </r>
  <r>
    <m/>
    <d v="2025-09-09T00:00:00"/>
    <x v="5"/>
    <x v="2"/>
    <s v="QR Code"/>
    <s v="Émargée"/>
    <x v="197"/>
    <s v="Louise"/>
    <x v="5"/>
    <x v="195"/>
    <x v="0"/>
  </r>
  <r>
    <m/>
    <d v="2025-09-08T00:00:00"/>
    <x v="4"/>
    <x v="4"/>
    <s v="QR Code"/>
    <s v="Émargée"/>
    <x v="203"/>
    <s v="Lyuwa"/>
    <x v="4"/>
    <x v="201"/>
    <x v="0"/>
  </r>
  <r>
    <m/>
    <d v="2025-09-08T00:00:00"/>
    <x v="1"/>
    <x v="1"/>
    <s v="QR Code"/>
    <s v="Émargée"/>
    <x v="203"/>
    <s v="Lyuwa"/>
    <x v="1"/>
    <x v="201"/>
    <x v="0"/>
  </r>
  <r>
    <m/>
    <d v="2025-09-08T00:00:00"/>
    <x v="2"/>
    <x v="2"/>
    <s v="QR Code"/>
    <s v="Émargée"/>
    <x v="203"/>
    <s v="Lyuwa"/>
    <x v="2"/>
    <x v="201"/>
    <x v="0"/>
  </r>
  <r>
    <m/>
    <d v="2025-09-08T00:00:00"/>
    <x v="3"/>
    <x v="3"/>
    <s v="QR Code"/>
    <s v="Émargée"/>
    <x v="203"/>
    <s v="Lyuwa"/>
    <x v="3"/>
    <x v="201"/>
    <x v="0"/>
  </r>
  <r>
    <m/>
    <d v="2025-09-09T00:00:00"/>
    <x v="5"/>
    <x v="2"/>
    <s v="QR Code"/>
    <s v="Émargée"/>
    <x v="198"/>
    <s v="Héloïse"/>
    <x v="5"/>
    <x v="196"/>
    <x v="0"/>
  </r>
  <r>
    <m/>
    <d v="2025-09-09T00:00:00"/>
    <x v="5"/>
    <x v="2"/>
    <s v="QR Code"/>
    <s v="Émargée"/>
    <x v="199"/>
    <s v="Mattéo"/>
    <x v="5"/>
    <x v="197"/>
    <x v="1"/>
  </r>
  <r>
    <m/>
    <d v="2025-09-08T00:00:00"/>
    <x v="4"/>
    <x v="4"/>
    <s v="QR Code"/>
    <s v="Émargée"/>
    <x v="204"/>
    <s v="Sesshu"/>
    <x v="4"/>
    <x v="202"/>
    <x v="0"/>
  </r>
  <r>
    <m/>
    <d v="2025-09-08T00:00:00"/>
    <x v="1"/>
    <x v="1"/>
    <s v="QR Code"/>
    <s v="Émargée"/>
    <x v="204"/>
    <s v="Sesshu"/>
    <x v="1"/>
    <x v="202"/>
    <x v="0"/>
  </r>
  <r>
    <m/>
    <d v="2025-09-08T00:00:00"/>
    <x v="2"/>
    <x v="2"/>
    <s v="QR Code"/>
    <s v="Émargée"/>
    <x v="204"/>
    <s v="Sesshu"/>
    <x v="2"/>
    <x v="202"/>
    <x v="0"/>
  </r>
  <r>
    <m/>
    <d v="2025-09-08T00:00:00"/>
    <x v="3"/>
    <x v="3"/>
    <s v="QR Code"/>
    <s v="Émargée"/>
    <x v="204"/>
    <s v="Sesshu"/>
    <x v="3"/>
    <x v="202"/>
    <x v="0"/>
  </r>
  <r>
    <m/>
    <d v="2025-09-09T00:00:00"/>
    <x v="5"/>
    <x v="2"/>
    <s v="QR Code"/>
    <s v="Émargée"/>
    <x v="200"/>
    <s v="David"/>
    <x v="5"/>
    <x v="198"/>
    <x v="0"/>
  </r>
  <r>
    <m/>
    <d v="2025-09-09T00:00:00"/>
    <x v="5"/>
    <x v="2"/>
    <s v="QR Code"/>
    <s v="Émargée"/>
    <x v="201"/>
    <s v="Gwenaël"/>
    <x v="5"/>
    <x v="199"/>
    <x v="0"/>
  </r>
  <r>
    <m/>
    <d v="2025-09-08T00:00:00"/>
    <x v="4"/>
    <x v="4"/>
    <s v="QR Code"/>
    <s v="Émargée"/>
    <x v="205"/>
    <s v="Haoting"/>
    <x v="4"/>
    <x v="203"/>
    <x v="0"/>
  </r>
  <r>
    <m/>
    <d v="2025-09-08T00:00:00"/>
    <x v="1"/>
    <x v="1"/>
    <s v="QR Code"/>
    <s v="Émargée"/>
    <x v="205"/>
    <s v="Haoting"/>
    <x v="1"/>
    <x v="203"/>
    <x v="0"/>
  </r>
  <r>
    <m/>
    <d v="2025-09-08T00:00:00"/>
    <x v="2"/>
    <x v="2"/>
    <s v="QR Code"/>
    <s v="Émargée"/>
    <x v="205"/>
    <s v="Haoting"/>
    <x v="2"/>
    <x v="203"/>
    <x v="0"/>
  </r>
  <r>
    <m/>
    <d v="2025-09-08T00:00:00"/>
    <x v="3"/>
    <x v="3"/>
    <s v="QR Code"/>
    <s v="Émargée"/>
    <x v="205"/>
    <s v="Haoting"/>
    <x v="3"/>
    <x v="203"/>
    <x v="0"/>
  </r>
  <r>
    <m/>
    <d v="2025-09-09T00:00:00"/>
    <x v="5"/>
    <x v="2"/>
    <s v="QR Code"/>
    <s v="Émargée"/>
    <x v="202"/>
    <s v="Tomas"/>
    <x v="5"/>
    <x v="200"/>
    <x v="0"/>
  </r>
  <r>
    <m/>
    <d v="2025-09-09T00:00:00"/>
    <x v="5"/>
    <x v="2"/>
    <s v="QR Code"/>
    <s v="Émargée"/>
    <x v="203"/>
    <s v="Lyuwa"/>
    <x v="5"/>
    <x v="201"/>
    <x v="0"/>
  </r>
  <r>
    <m/>
    <d v="2025-09-08T00:00:00"/>
    <x v="4"/>
    <x v="4"/>
    <s v="QR Code"/>
    <s v="Émargée"/>
    <x v="206"/>
    <s v="Seongwon"/>
    <x v="4"/>
    <x v="204"/>
    <x v="0"/>
  </r>
  <r>
    <m/>
    <d v="2025-09-08T00:00:00"/>
    <x v="1"/>
    <x v="1"/>
    <s v="QR Code"/>
    <s v="Émargée"/>
    <x v="206"/>
    <s v="Seongwon"/>
    <x v="1"/>
    <x v="204"/>
    <x v="0"/>
  </r>
  <r>
    <m/>
    <d v="2025-09-08T00:00:00"/>
    <x v="2"/>
    <x v="2"/>
    <s v="QR Code"/>
    <s v="Émargée"/>
    <x v="206"/>
    <s v="Seongwon"/>
    <x v="2"/>
    <x v="204"/>
    <x v="0"/>
  </r>
  <r>
    <m/>
    <d v="2025-09-08T00:00:00"/>
    <x v="3"/>
    <x v="3"/>
    <s v="QR Code"/>
    <s v="Émargée"/>
    <x v="206"/>
    <s v="Seongwon"/>
    <x v="3"/>
    <x v="204"/>
    <x v="0"/>
  </r>
  <r>
    <m/>
    <d v="2025-09-09T00:00:00"/>
    <x v="5"/>
    <x v="2"/>
    <s v="QR Code"/>
    <s v="Émargée"/>
    <x v="204"/>
    <s v="Sesshu"/>
    <x v="5"/>
    <x v="202"/>
    <x v="0"/>
  </r>
  <r>
    <m/>
    <d v="2025-09-09T00:00:00"/>
    <x v="5"/>
    <x v="2"/>
    <s v="QR Code"/>
    <s v="Émargée"/>
    <x v="205"/>
    <s v="Haoting"/>
    <x v="5"/>
    <x v="203"/>
    <x v="0"/>
  </r>
  <r>
    <m/>
    <d v="2025-09-08T00:00:00"/>
    <x v="4"/>
    <x v="4"/>
    <s v="QR Code"/>
    <s v="Émargée"/>
    <x v="207"/>
    <s v="Ilan"/>
    <x v="4"/>
    <x v="205"/>
    <x v="1"/>
  </r>
  <r>
    <m/>
    <d v="2025-09-08T00:00:00"/>
    <x v="1"/>
    <x v="1"/>
    <s v="QR Code"/>
    <s v="Émargée"/>
    <x v="207"/>
    <s v="Ilan"/>
    <x v="1"/>
    <x v="205"/>
    <x v="1"/>
  </r>
  <r>
    <m/>
    <d v="2025-09-08T00:00:00"/>
    <x v="2"/>
    <x v="2"/>
    <s v="QR Code"/>
    <s v="Émargée"/>
    <x v="207"/>
    <s v="Ilan"/>
    <x v="2"/>
    <x v="205"/>
    <x v="1"/>
  </r>
  <r>
    <m/>
    <d v="2025-09-08T00:00:00"/>
    <x v="3"/>
    <x v="3"/>
    <s v="QR Code"/>
    <s v="Émargée"/>
    <x v="207"/>
    <s v="Ilan"/>
    <x v="3"/>
    <x v="205"/>
    <x v="0"/>
  </r>
  <r>
    <m/>
    <d v="2025-09-09T00:00:00"/>
    <x v="5"/>
    <x v="2"/>
    <s v="QR Code"/>
    <s v="Émargée"/>
    <x v="206"/>
    <s v="Seongwon"/>
    <x v="5"/>
    <x v="204"/>
    <x v="0"/>
  </r>
  <r>
    <m/>
    <d v="2025-09-09T00:00:00"/>
    <x v="5"/>
    <x v="2"/>
    <s v="QR Code"/>
    <s v="Émargée"/>
    <x v="207"/>
    <s v="Ilan"/>
    <x v="5"/>
    <x v="205"/>
    <x v="1"/>
  </r>
  <r>
    <m/>
    <d v="2025-09-08T00:00:00"/>
    <x v="4"/>
    <x v="4"/>
    <s v="QR Code"/>
    <s v="Émargée"/>
    <x v="208"/>
    <s v="Enzo"/>
    <x v="4"/>
    <x v="206"/>
    <x v="0"/>
  </r>
  <r>
    <m/>
    <d v="2025-09-08T00:00:00"/>
    <x v="1"/>
    <x v="1"/>
    <s v="QR Code"/>
    <s v="Émargée"/>
    <x v="208"/>
    <s v="Enzo"/>
    <x v="1"/>
    <x v="206"/>
    <x v="0"/>
  </r>
  <r>
    <m/>
    <d v="2025-09-08T00:00:00"/>
    <x v="2"/>
    <x v="2"/>
    <s v="QR Code"/>
    <s v="Émargée"/>
    <x v="208"/>
    <s v="Enzo"/>
    <x v="2"/>
    <x v="206"/>
    <x v="0"/>
  </r>
  <r>
    <m/>
    <d v="2025-09-08T00:00:00"/>
    <x v="3"/>
    <x v="3"/>
    <s v="QR Code"/>
    <s v="Émargée"/>
    <x v="208"/>
    <s v="Enzo"/>
    <x v="3"/>
    <x v="206"/>
    <x v="0"/>
  </r>
  <r>
    <m/>
    <d v="2025-09-09T00:00:00"/>
    <x v="5"/>
    <x v="2"/>
    <s v="QR Code"/>
    <s v="Émargée"/>
    <x v="208"/>
    <s v="Enzo"/>
    <x v="5"/>
    <x v="206"/>
    <x v="1"/>
  </r>
  <r>
    <m/>
    <d v="2025-09-08T00:00:00"/>
    <x v="2"/>
    <x v="2"/>
    <m/>
    <m/>
    <x v="211"/>
    <s v="Romane"/>
    <x v="2"/>
    <x v="209"/>
    <x v="0"/>
  </r>
  <r>
    <m/>
    <d v="2025-09-08T00:00:00"/>
    <x v="3"/>
    <x v="3"/>
    <m/>
    <m/>
    <x v="212"/>
    <s v="Mael"/>
    <x v="2"/>
    <x v="210"/>
    <x v="0"/>
  </r>
  <r>
    <m/>
    <d v="2025-09-08T00:00:00"/>
    <x v="2"/>
    <x v="2"/>
    <m/>
    <m/>
    <x v="213"/>
    <s v="Matthis"/>
    <x v="3"/>
    <x v="211"/>
    <x v="0"/>
  </r>
  <r>
    <m/>
    <d v="2025-09-08T00:00:00"/>
    <x v="3"/>
    <x v="3"/>
    <m/>
    <m/>
    <x v="214"/>
    <s v="Anatole"/>
    <x v="3"/>
    <x v="212"/>
    <x v="0"/>
  </r>
  <r>
    <m/>
    <d v="2025-09-08T00:00:00"/>
    <x v="3"/>
    <x v="3"/>
    <m/>
    <m/>
    <x v="215"/>
    <s v="Léa"/>
    <x v="3"/>
    <x v="213"/>
    <x v="0"/>
  </r>
  <r>
    <m/>
    <d v="2025-09-08T00:00:00"/>
    <x v="3"/>
    <x v="3"/>
    <m/>
    <m/>
    <x v="117"/>
    <s v="Eléonore"/>
    <x v="3"/>
    <x v="116"/>
    <x v="0"/>
  </r>
  <r>
    <m/>
    <d v="2025-09-08T00:00:00"/>
    <x v="3"/>
    <x v="3"/>
    <m/>
    <m/>
    <x v="209"/>
    <s v="Henri"/>
    <x v="3"/>
    <x v="207"/>
    <x v="0"/>
  </r>
  <r>
    <m/>
    <d v="2025-09-08T00:00:00"/>
    <x v="3"/>
    <x v="3"/>
    <m/>
    <m/>
    <x v="216"/>
    <s v="Matteo"/>
    <x v="3"/>
    <x v="214"/>
    <x v="0"/>
  </r>
  <r>
    <m/>
    <d v="2025-09-08T00:00:00"/>
    <x v="3"/>
    <x v="3"/>
    <m/>
    <m/>
    <x v="217"/>
    <s v="Jean"/>
    <x v="3"/>
    <x v="215"/>
    <x v="0"/>
  </r>
  <r>
    <m/>
    <d v="2025-09-08T00:00:00"/>
    <x v="3"/>
    <x v="3"/>
    <m/>
    <m/>
    <x v="218"/>
    <s v="Po-Chun"/>
    <x v="3"/>
    <x v="198"/>
    <x v="0"/>
  </r>
  <r>
    <m/>
    <d v="2025-09-08T00:00:00"/>
    <x v="3"/>
    <x v="3"/>
    <m/>
    <m/>
    <x v="219"/>
    <s v="Gabriel"/>
    <x v="3"/>
    <x v="216"/>
    <x v="0"/>
  </r>
  <r>
    <m/>
    <e v="#VALUE!"/>
    <x v="6"/>
    <x v="5"/>
    <m/>
    <m/>
    <x v="220"/>
    <s v="Malo"/>
    <x v="2"/>
    <x v="217"/>
    <x v="0"/>
  </r>
  <r>
    <m/>
    <m/>
    <x v="6"/>
    <x v="5"/>
    <m/>
    <m/>
    <x v="221"/>
    <s v="Maelle"/>
    <x v="2"/>
    <x v="218"/>
    <x v="0"/>
  </r>
  <r>
    <m/>
    <m/>
    <x v="6"/>
    <x v="5"/>
    <m/>
    <m/>
    <x v="222"/>
    <s v="Eugénie"/>
    <x v="2"/>
    <x v="219"/>
    <x v="0"/>
  </r>
  <r>
    <m/>
    <m/>
    <x v="6"/>
    <x v="5"/>
    <m/>
    <m/>
    <x v="223"/>
    <s v="Valéry"/>
    <x v="2"/>
    <x v="220"/>
    <x v="0"/>
  </r>
  <r>
    <m/>
    <m/>
    <x v="6"/>
    <x v="5"/>
    <m/>
    <m/>
    <x v="224"/>
    <s v="Elie"/>
    <x v="2"/>
    <x v="221"/>
    <x v="0"/>
  </r>
  <r>
    <m/>
    <m/>
    <x v="6"/>
    <x v="5"/>
    <m/>
    <m/>
    <x v="225"/>
    <s v="Solène"/>
    <x v="2"/>
    <x v="222"/>
    <x v="0"/>
  </r>
  <r>
    <m/>
    <m/>
    <x v="6"/>
    <x v="5"/>
    <m/>
    <m/>
    <x v="226"/>
    <s v="Olivia"/>
    <x v="2"/>
    <x v="223"/>
    <x v="0"/>
  </r>
  <r>
    <m/>
    <m/>
    <x v="6"/>
    <x v="5"/>
    <m/>
    <m/>
    <x v="227"/>
    <s v="Jantien"/>
    <x v="2"/>
    <x v="224"/>
    <x v="0"/>
  </r>
  <r>
    <m/>
    <m/>
    <x v="6"/>
    <x v="5"/>
    <m/>
    <m/>
    <x v="228"/>
    <s v="Paloma"/>
    <x v="2"/>
    <x v="225"/>
    <x v="0"/>
  </r>
  <r>
    <m/>
    <m/>
    <x v="6"/>
    <x v="5"/>
    <m/>
    <m/>
    <x v="229"/>
    <s v="Johanne"/>
    <x v="2"/>
    <x v="226"/>
    <x v="0"/>
  </r>
  <r>
    <m/>
    <m/>
    <x v="6"/>
    <x v="5"/>
    <m/>
    <m/>
    <x v="230"/>
    <s v="Ivo"/>
    <x v="2"/>
    <x v="227"/>
    <x v="0"/>
  </r>
  <r>
    <m/>
    <m/>
    <x v="6"/>
    <x v="5"/>
    <m/>
    <m/>
    <x v="231"/>
    <s v="Nathan"/>
    <x v="2"/>
    <x v="228"/>
    <x v="0"/>
  </r>
  <r>
    <m/>
    <m/>
    <x v="6"/>
    <x v="5"/>
    <m/>
    <m/>
    <x v="232"/>
    <s v="Sophia "/>
    <x v="2"/>
    <x v="229"/>
    <x v="0"/>
  </r>
  <r>
    <m/>
    <m/>
    <x v="6"/>
    <x v="5"/>
    <m/>
    <m/>
    <x v="233"/>
    <s v="Maud"/>
    <x v="2"/>
    <x v="230"/>
    <x v="0"/>
  </r>
  <r>
    <m/>
    <m/>
    <x v="6"/>
    <x v="5"/>
    <m/>
    <m/>
    <x v="234"/>
    <s v="Anaïs"/>
    <x v="2"/>
    <x v="231"/>
    <x v="0"/>
  </r>
  <r>
    <m/>
    <m/>
    <x v="6"/>
    <x v="5"/>
    <m/>
    <m/>
    <x v="235"/>
    <s v="Claudia"/>
    <x v="2"/>
    <x v="232"/>
    <x v="0"/>
  </r>
  <r>
    <m/>
    <m/>
    <x v="6"/>
    <x v="5"/>
    <m/>
    <m/>
    <x v="219"/>
    <s v="Gabriel"/>
    <x v="2"/>
    <x v="216"/>
    <x v="0"/>
  </r>
  <r>
    <m/>
    <m/>
    <x v="6"/>
    <x v="5"/>
    <m/>
    <m/>
    <x v="236"/>
    <s v="Claire"/>
    <x v="2"/>
    <x v="233"/>
    <x v="0"/>
  </r>
  <r>
    <m/>
    <m/>
    <x v="6"/>
    <x v="5"/>
    <m/>
    <m/>
    <x v="237"/>
    <s v="Lilian"/>
    <x v="1"/>
    <x v="234"/>
    <x v="0"/>
  </r>
  <r>
    <m/>
    <m/>
    <x v="6"/>
    <x v="5"/>
    <m/>
    <m/>
    <x v="238"/>
    <s v="Anjara"/>
    <x v="1"/>
    <x v="235"/>
    <x v="0"/>
  </r>
  <r>
    <m/>
    <m/>
    <x v="6"/>
    <x v="5"/>
    <m/>
    <m/>
    <x v="226"/>
    <s v="Olivia"/>
    <x v="1"/>
    <x v="223"/>
    <x v="0"/>
  </r>
  <r>
    <m/>
    <m/>
    <x v="6"/>
    <x v="5"/>
    <m/>
    <m/>
    <x v="229"/>
    <s v="Johanne"/>
    <x v="1"/>
    <x v="226"/>
    <x v="0"/>
  </r>
  <r>
    <m/>
    <m/>
    <x v="6"/>
    <x v="5"/>
    <m/>
    <m/>
    <x v="228"/>
    <s v="Paloma"/>
    <x v="1"/>
    <x v="225"/>
    <x v="0"/>
  </r>
  <r>
    <m/>
    <m/>
    <x v="6"/>
    <x v="5"/>
    <m/>
    <m/>
    <x v="227"/>
    <s v="Jantien"/>
    <x v="1"/>
    <x v="224"/>
    <x v="0"/>
  </r>
  <r>
    <m/>
    <m/>
    <x v="6"/>
    <x v="5"/>
    <m/>
    <m/>
    <x v="239"/>
    <s v="Maëliss"/>
    <x v="1"/>
    <x v="236"/>
    <x v="0"/>
  </r>
  <r>
    <m/>
    <m/>
    <x v="6"/>
    <x v="5"/>
    <m/>
    <m/>
    <x v="236"/>
    <s v="Claire"/>
    <x v="1"/>
    <x v="233"/>
    <x v="0"/>
  </r>
  <r>
    <m/>
    <m/>
    <x v="6"/>
    <x v="5"/>
    <m/>
    <m/>
    <x v="240"/>
    <s v="Elikya"/>
    <x v="1"/>
    <x v="237"/>
    <x v="0"/>
  </r>
  <r>
    <m/>
    <m/>
    <x v="6"/>
    <x v="5"/>
    <m/>
    <m/>
    <x v="234"/>
    <s v="Anaïs"/>
    <x v="1"/>
    <x v="231"/>
    <x v="0"/>
  </r>
  <r>
    <m/>
    <m/>
    <x v="6"/>
    <x v="5"/>
    <m/>
    <m/>
    <x v="235"/>
    <s v="Claudia"/>
    <x v="1"/>
    <x v="232"/>
    <x v="0"/>
  </r>
  <r>
    <m/>
    <m/>
    <x v="6"/>
    <x v="5"/>
    <m/>
    <m/>
    <x v="222"/>
    <s v="Eugénie"/>
    <x v="1"/>
    <x v="219"/>
    <x v="0"/>
  </r>
  <r>
    <m/>
    <m/>
    <x v="6"/>
    <x v="5"/>
    <m/>
    <m/>
    <x v="241"/>
    <s v="Elisa"/>
    <x v="1"/>
    <x v="238"/>
    <x v="0"/>
  </r>
  <r>
    <m/>
    <m/>
    <x v="6"/>
    <x v="5"/>
    <m/>
    <m/>
    <x v="242"/>
    <s v="Maël"/>
    <x v="1"/>
    <x v="239"/>
    <x v="0"/>
  </r>
  <r>
    <m/>
    <m/>
    <x v="6"/>
    <x v="5"/>
    <m/>
    <m/>
    <x v="243"/>
    <s v="Matthis"/>
    <x v="1"/>
    <x v="211"/>
    <x v="0"/>
  </r>
  <r>
    <m/>
    <m/>
    <x v="6"/>
    <x v="5"/>
    <m/>
    <m/>
    <x v="223"/>
    <s v="Valéry"/>
    <x v="1"/>
    <x v="220"/>
    <x v="0"/>
  </r>
  <r>
    <m/>
    <m/>
    <x v="6"/>
    <x v="5"/>
    <m/>
    <m/>
    <x v="244"/>
    <s v="Po-Chun"/>
    <x v="1"/>
    <x v="198"/>
    <x v="0"/>
  </r>
  <r>
    <m/>
    <m/>
    <x v="6"/>
    <x v="5"/>
    <m/>
    <m/>
    <x v="215"/>
    <s v="Léa"/>
    <x v="1"/>
    <x v="213"/>
    <x v="0"/>
  </r>
  <r>
    <m/>
    <m/>
    <x v="6"/>
    <x v="5"/>
    <m/>
    <m/>
    <x v="209"/>
    <s v="Henri"/>
    <x v="4"/>
    <x v="207"/>
    <x v="0"/>
  </r>
  <r>
    <m/>
    <m/>
    <x v="6"/>
    <x v="5"/>
    <m/>
    <m/>
    <x v="161"/>
    <s v="Estellie"/>
    <x v="4"/>
    <x v="159"/>
    <x v="0"/>
  </r>
  <r>
    <m/>
    <m/>
    <x v="6"/>
    <x v="5"/>
    <m/>
    <m/>
    <x v="217"/>
    <s v="Jean"/>
    <x v="4"/>
    <x v="215"/>
    <x v="0"/>
  </r>
  <r>
    <m/>
    <m/>
    <x v="6"/>
    <x v="5"/>
    <m/>
    <m/>
    <x v="240"/>
    <s v="Elikya"/>
    <x v="4"/>
    <x v="237"/>
    <x v="0"/>
  </r>
  <r>
    <m/>
    <m/>
    <x v="6"/>
    <x v="5"/>
    <m/>
    <m/>
    <x v="221"/>
    <s v="Maelle"/>
    <x v="4"/>
    <x v="218"/>
    <x v="0"/>
  </r>
  <r>
    <m/>
    <m/>
    <x v="6"/>
    <x v="5"/>
    <m/>
    <m/>
    <x v="236"/>
    <s v="Claire"/>
    <x v="4"/>
    <x v="233"/>
    <x v="0"/>
  </r>
  <r>
    <m/>
    <m/>
    <x v="6"/>
    <x v="5"/>
    <m/>
    <m/>
    <x v="215"/>
    <s v="léa"/>
    <x v="4"/>
    <x v="213"/>
    <x v="0"/>
  </r>
  <r>
    <m/>
    <m/>
    <x v="6"/>
    <x v="5"/>
    <m/>
    <m/>
    <x v="223"/>
    <s v="Valéry"/>
    <x v="4"/>
    <x v="220"/>
    <x v="0"/>
  </r>
  <r>
    <m/>
    <m/>
    <x v="6"/>
    <x v="5"/>
    <m/>
    <m/>
    <x v="89"/>
    <s v="Victor"/>
    <x v="4"/>
    <x v="89"/>
    <x v="0"/>
  </r>
  <r>
    <m/>
    <m/>
    <x v="6"/>
    <x v="5"/>
    <m/>
    <m/>
    <x v="167"/>
    <s v="Hugo"/>
    <x v="4"/>
    <x v="165"/>
    <x v="0"/>
  </r>
  <r>
    <m/>
    <m/>
    <x v="6"/>
    <x v="5"/>
    <m/>
    <m/>
    <x v="219"/>
    <s v="Gabriel"/>
    <x v="4"/>
    <x v="216"/>
    <x v="0"/>
  </r>
  <r>
    <m/>
    <m/>
    <x v="6"/>
    <x v="5"/>
    <m/>
    <m/>
    <x v="244"/>
    <s v="Po-Chun"/>
    <x v="4"/>
    <x v="198"/>
    <x v="0"/>
  </r>
  <r>
    <m/>
    <m/>
    <x v="6"/>
    <x v="5"/>
    <m/>
    <m/>
    <x v="243"/>
    <s v="Matthis"/>
    <x v="4"/>
    <x v="211"/>
    <x v="0"/>
  </r>
  <r>
    <m/>
    <m/>
    <x v="6"/>
    <x v="5"/>
    <m/>
    <m/>
    <x v="174"/>
    <s v="Solveig"/>
    <x v="4"/>
    <x v="172"/>
    <x v="0"/>
  </r>
  <r>
    <m/>
    <m/>
    <x v="6"/>
    <x v="5"/>
    <m/>
    <m/>
    <x v="198"/>
    <s v="Héloïse"/>
    <x v="4"/>
    <x v="196"/>
    <x v="0"/>
  </r>
  <r>
    <m/>
    <m/>
    <x v="6"/>
    <x v="5"/>
    <m/>
    <m/>
    <x v="210"/>
    <s v="Mélodie"/>
    <x v="4"/>
    <x v="208"/>
    <x v="0"/>
  </r>
  <r>
    <m/>
    <m/>
    <x v="6"/>
    <x v="5"/>
    <m/>
    <m/>
    <x v="184"/>
    <s v="Justine"/>
    <x v="4"/>
    <x v="182"/>
    <x v="0"/>
  </r>
  <r>
    <m/>
    <m/>
    <x v="6"/>
    <x v="5"/>
    <m/>
    <m/>
    <x v="245"/>
    <s v="Ariel"/>
    <x v="4"/>
    <x v="240"/>
    <x v="0"/>
  </r>
  <r>
    <m/>
    <m/>
    <x v="6"/>
    <x v="5"/>
    <m/>
    <m/>
    <x v="232"/>
    <s v="Sophia "/>
    <x v="0"/>
    <x v="229"/>
    <x v="0"/>
  </r>
  <r>
    <m/>
    <m/>
    <x v="6"/>
    <x v="5"/>
    <m/>
    <m/>
    <x v="237"/>
    <s v="Lilian"/>
    <x v="0"/>
    <x v="234"/>
    <x v="0"/>
  </r>
  <r>
    <m/>
    <m/>
    <x v="6"/>
    <x v="5"/>
    <m/>
    <m/>
    <x v="229"/>
    <s v="Johanne"/>
    <x v="0"/>
    <x v="226"/>
    <x v="0"/>
  </r>
  <r>
    <m/>
    <m/>
    <x v="6"/>
    <x v="5"/>
    <m/>
    <m/>
    <x v="246"/>
    <s v="Nathan"/>
    <x v="0"/>
    <x v="241"/>
    <x v="0"/>
  </r>
  <r>
    <m/>
    <m/>
    <x v="6"/>
    <x v="5"/>
    <m/>
    <m/>
    <x v="221"/>
    <s v="Maelle"/>
    <x v="0"/>
    <x v="218"/>
    <x v="0"/>
  </r>
  <r>
    <m/>
    <m/>
    <x v="6"/>
    <x v="5"/>
    <m/>
    <m/>
    <x v="235"/>
    <s v="Claudia"/>
    <x v="0"/>
    <x v="232"/>
    <x v="0"/>
  </r>
  <r>
    <m/>
    <m/>
    <x v="6"/>
    <x v="5"/>
    <m/>
    <m/>
    <x v="243"/>
    <s v="Matthis"/>
    <x v="0"/>
    <x v="211"/>
    <x v="0"/>
  </r>
  <r>
    <m/>
    <m/>
    <x v="6"/>
    <x v="5"/>
    <m/>
    <m/>
    <x v="238"/>
    <s v="Anjara"/>
    <x v="0"/>
    <x v="235"/>
    <x v="0"/>
  </r>
  <r>
    <m/>
    <m/>
    <x v="6"/>
    <x v="5"/>
    <m/>
    <m/>
    <x v="222"/>
    <s v="Eugénie"/>
    <x v="0"/>
    <x v="219"/>
    <x v="0"/>
  </r>
  <r>
    <m/>
    <m/>
    <x v="6"/>
    <x v="5"/>
    <m/>
    <m/>
    <x v="227"/>
    <s v="Jantien"/>
    <x v="0"/>
    <x v="224"/>
    <x v="0"/>
  </r>
  <r>
    <m/>
    <m/>
    <x v="6"/>
    <x v="5"/>
    <m/>
    <m/>
    <x v="247"/>
    <s v="Claira"/>
    <x v="0"/>
    <x v="242"/>
    <x v="0"/>
  </r>
  <r>
    <m/>
    <m/>
    <x v="6"/>
    <x v="5"/>
    <m/>
    <m/>
    <x v="241"/>
    <s v="Elisa"/>
    <x v="0"/>
    <x v="238"/>
    <x v="0"/>
  </r>
  <r>
    <m/>
    <m/>
    <x v="6"/>
    <x v="5"/>
    <m/>
    <m/>
    <x v="210"/>
    <s v="Mélodie"/>
    <x v="0"/>
    <x v="208"/>
    <x v="0"/>
  </r>
  <r>
    <m/>
    <m/>
    <x v="6"/>
    <x v="5"/>
    <m/>
    <m/>
    <x v="225"/>
    <s v="Solène"/>
    <x v="0"/>
    <x v="222"/>
    <x v="0"/>
  </r>
  <r>
    <m/>
    <m/>
    <x v="6"/>
    <x v="5"/>
    <m/>
    <m/>
    <x v="231"/>
    <s v="Nathan"/>
    <x v="0"/>
    <x v="228"/>
    <x v="0"/>
  </r>
  <r>
    <m/>
    <m/>
    <x v="6"/>
    <x v="5"/>
    <m/>
    <m/>
    <x v="236"/>
    <s v="Claire"/>
    <x v="0"/>
    <x v="233"/>
    <x v="0"/>
  </r>
  <r>
    <m/>
    <m/>
    <x v="6"/>
    <x v="5"/>
    <m/>
    <m/>
    <x v="240"/>
    <s v="Elikya"/>
    <x v="0"/>
    <x v="237"/>
    <x v="0"/>
  </r>
  <r>
    <m/>
    <m/>
    <x v="6"/>
    <x v="5"/>
    <m/>
    <m/>
    <x v="230"/>
    <s v="Ivo"/>
    <x v="0"/>
    <x v="227"/>
    <x v="0"/>
  </r>
  <r>
    <m/>
    <m/>
    <x v="6"/>
    <x v="5"/>
    <m/>
    <m/>
    <x v="209"/>
    <s v="Henri"/>
    <x v="0"/>
    <x v="207"/>
    <x v="0"/>
  </r>
  <r>
    <m/>
    <m/>
    <x v="6"/>
    <x v="5"/>
    <m/>
    <m/>
    <x v="211"/>
    <s v="Romane"/>
    <x v="0"/>
    <x v="209"/>
    <x v="0"/>
  </r>
  <r>
    <m/>
    <m/>
    <x v="6"/>
    <x v="5"/>
    <m/>
    <m/>
    <x v="226"/>
    <s v="Olivia"/>
    <x v="0"/>
    <x v="223"/>
    <x v="0"/>
  </r>
  <r>
    <m/>
    <m/>
    <x v="6"/>
    <x v="5"/>
    <m/>
    <m/>
    <x v="219"/>
    <s v="Gabriel"/>
    <x v="0"/>
    <x v="216"/>
    <x v="0"/>
  </r>
  <r>
    <m/>
    <m/>
    <x v="6"/>
    <x v="5"/>
    <m/>
    <m/>
    <x v="215"/>
    <s v="Léa"/>
    <x v="0"/>
    <x v="213"/>
    <x v="0"/>
  </r>
  <r>
    <m/>
    <m/>
    <x v="6"/>
    <x v="5"/>
    <m/>
    <m/>
    <x v="248"/>
    <s v="Léonard"/>
    <x v="0"/>
    <x v="243"/>
    <x v="0"/>
  </r>
  <r>
    <m/>
    <m/>
    <x v="6"/>
    <x v="5"/>
    <m/>
    <m/>
    <x v="234"/>
    <s v="Anaïs"/>
    <x v="0"/>
    <x v="231"/>
    <x v="0"/>
  </r>
  <r>
    <m/>
    <m/>
    <x v="6"/>
    <x v="5"/>
    <m/>
    <m/>
    <x v="233"/>
    <s v="Maud"/>
    <x v="0"/>
    <x v="230"/>
    <x v="0"/>
  </r>
  <r>
    <m/>
    <m/>
    <x v="6"/>
    <x v="5"/>
    <m/>
    <m/>
    <x v="216"/>
    <s v="Matteo"/>
    <x v="0"/>
    <x v="214"/>
    <x v="0"/>
  </r>
  <r>
    <m/>
    <m/>
    <x v="6"/>
    <x v="5"/>
    <m/>
    <m/>
    <x v="249"/>
    <s v="Nathanaël"/>
    <x v="0"/>
    <x v="244"/>
    <x v="0"/>
  </r>
  <r>
    <m/>
    <m/>
    <x v="6"/>
    <x v="5"/>
    <m/>
    <m/>
    <x v="250"/>
    <s v="Jiayue"/>
    <x v="0"/>
    <x v="82"/>
    <x v="0"/>
  </r>
  <r>
    <m/>
    <m/>
    <x v="6"/>
    <x v="5"/>
    <m/>
    <m/>
    <x v="217"/>
    <s v="Jean"/>
    <x v="0"/>
    <x v="215"/>
    <x v="0"/>
  </r>
  <r>
    <m/>
    <m/>
    <x v="6"/>
    <x v="5"/>
    <m/>
    <m/>
    <x v="223"/>
    <s v="Valéry"/>
    <x v="0"/>
    <x v="220"/>
    <x v="0"/>
  </r>
  <r>
    <m/>
    <m/>
    <x v="6"/>
    <x v="5"/>
    <m/>
    <m/>
    <x v="220"/>
    <s v="Malo"/>
    <x v="0"/>
    <x v="217"/>
    <x v="0"/>
  </r>
  <r>
    <m/>
    <m/>
    <x v="6"/>
    <x v="5"/>
    <m/>
    <m/>
    <x v="167"/>
    <s v="Hugo"/>
    <x v="0"/>
    <x v="165"/>
    <x v="0"/>
  </r>
  <r>
    <m/>
    <m/>
    <x v="6"/>
    <x v="5"/>
    <m/>
    <m/>
    <x v="89"/>
    <s v="Victor"/>
    <x v="0"/>
    <x v="89"/>
    <x v="0"/>
  </r>
  <r>
    <m/>
    <m/>
    <x v="6"/>
    <x v="5"/>
    <m/>
    <m/>
    <x v="244"/>
    <s v="Po-Chun"/>
    <x v="0"/>
    <x v="198"/>
    <x v="0"/>
  </r>
  <r>
    <m/>
    <m/>
    <x v="6"/>
    <x v="5"/>
    <m/>
    <m/>
    <x v="184"/>
    <s v="Justine"/>
    <x v="0"/>
    <x v="182"/>
    <x v="0"/>
  </r>
  <r>
    <m/>
    <m/>
    <x v="6"/>
    <x v="5"/>
    <m/>
    <m/>
    <x v="251"/>
    <m/>
    <x v="6"/>
    <x v="24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BB9DB-525E-44A9-BDC1-C4FFEF816ECF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compact="0" compactData="0" gridDropZones="1" multipleFieldFilters="0">
  <location ref="G4:K12" firstHeaderRow="1" firstDataRow="2" firstDataCol="1"/>
  <pivotFields count="13">
    <pivotField compact="0" outline="0" showAll="0" sortType="ascending" defaultSubtotal="0"/>
    <pivotField compact="0" outline="0" showAll="0"/>
    <pivotField compact="0" outline="0" showAll="0" sortType="ascending" defaultSubtotal="0">
      <items count="8">
        <item x="3"/>
        <item x="0"/>
        <item m="1" x="7"/>
        <item x="2"/>
        <item x="5"/>
        <item x="1"/>
        <item x="4"/>
        <item x="6"/>
      </items>
    </pivotField>
    <pivotField compact="0" outline="0" showAll="0" defaultSubtotal="0">
      <items count="7">
        <item x="3"/>
        <item m="1" x="6"/>
        <item x="0"/>
        <item x="2"/>
        <item x="1"/>
        <item x="4"/>
        <item x="5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 defaultSubtotal="0">
      <items count="8">
        <item x="5"/>
        <item x="3"/>
        <item x="2"/>
        <item x="1"/>
        <item m="1" x="7"/>
        <item x="4"/>
        <item x="0"/>
        <item x="6"/>
      </items>
    </pivotField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5"/>
    </i>
    <i>
      <x v="6"/>
    </i>
    <i>
      <x v="7"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Nombre de Étudiant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FC8CC-431F-4DEC-B656-3F63DD0288A5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compact="0" compactData="0" gridDropZones="1" multipleFieldFilters="0">
  <location ref="R36:V50" firstHeaderRow="2" firstDataRow="2" firstDataCol="4"/>
  <pivotFields count="13">
    <pivotField compact="0" outline="0" showAll="0" sortType="ascending" defaultSubtotal="0"/>
    <pivotField compact="0" outline="0" showAll="0"/>
    <pivotField axis="axisRow" compact="0" outline="0" showAll="0" sortType="ascending" defaultSubtotal="0">
      <items count="8">
        <item x="3"/>
        <item x="0"/>
        <item m="1" x="7"/>
        <item x="2"/>
        <item x="5"/>
        <item x="1"/>
        <item x="4"/>
        <item x="6"/>
      </items>
    </pivotField>
    <pivotField axis="axisRow" compact="0" outline="0" showAll="0" defaultSubtotal="0">
      <items count="7">
        <item x="3"/>
        <item m="1" x="6"/>
        <item x="0"/>
        <item x="2"/>
        <item x="1"/>
        <item x="4"/>
        <item x="5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 defaultSubtotal="0">
      <items count="8">
        <item x="5"/>
        <item x="3"/>
        <item x="2"/>
        <item x="1"/>
        <item m="1" x="7"/>
        <item x="4"/>
        <item x="0"/>
        <item x="6"/>
      </items>
    </pivotField>
    <pivotField compact="0" outline="0" showAll="0"/>
    <pivotField compact="0" outline="0" showAll="0"/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4">
    <field x="8"/>
    <field x="12"/>
    <field x="2"/>
    <field x="3"/>
  </rowFields>
  <rowItems count="13">
    <i>
      <x/>
      <x v="14"/>
    </i>
    <i>
      <x v="1"/>
      <x v="11"/>
    </i>
    <i r="1">
      <x v="14"/>
    </i>
    <i>
      <x v="2"/>
      <x/>
    </i>
    <i r="1">
      <x v="11"/>
    </i>
    <i r="1">
      <x v="14"/>
    </i>
    <i>
      <x v="3"/>
      <x/>
    </i>
    <i r="1">
      <x v="16"/>
    </i>
    <i>
      <x v="5"/>
      <x/>
    </i>
    <i r="1">
      <x v="18"/>
    </i>
    <i>
      <x v="6"/>
      <x/>
    </i>
    <i r="1">
      <x v="12"/>
    </i>
    <i>
      <x v="7"/>
      <x/>
    </i>
  </rowItems>
  <colItems count="1">
    <i/>
  </colItems>
  <dataFields count="1">
    <dataField name="Nombre de Étudiant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82326-F4E5-4475-AD1B-FAF4177257C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compact="0" compactData="0" gridDropZones="1" multipleFieldFilters="0">
  <location ref="G35:L288" firstHeaderRow="1" firstDataRow="2" firstDataCol="2"/>
  <pivotFields count="13">
    <pivotField compact="0" outline="0" showAll="0" sortType="ascending" defaultSubtotal="0"/>
    <pivotField compact="0" outline="0" showAll="0"/>
    <pivotField compact="0" outline="0" showAll="0" sortType="ascending" defaultSubtotal="0">
      <items count="8">
        <item x="3"/>
        <item x="0"/>
        <item m="1" x="7"/>
        <item x="2"/>
        <item x="5"/>
        <item x="1"/>
        <item x="4"/>
        <item x="6"/>
      </items>
    </pivotField>
    <pivotField compact="0" outline="0" showAll="0" defaultSubtotal="0">
      <items count="7">
        <item x="3"/>
        <item m="1" x="6"/>
        <item x="0"/>
        <item x="2"/>
        <item x="1"/>
        <item x="4"/>
        <item x="5"/>
      </items>
    </pivotField>
    <pivotField compact="0" outline="0" showAll="0"/>
    <pivotField compact="0" outline="0" showAll="0"/>
    <pivotField axis="axisRow" compact="0" outline="0" showAll="0" defaultSubtotal="0">
      <items count="260">
        <item x="245"/>
        <item x="13"/>
        <item x="15"/>
        <item x="18"/>
        <item x="24"/>
        <item m="1" x="252"/>
        <item x="32"/>
        <item x="40"/>
        <item x="43"/>
        <item x="45"/>
        <item x="142"/>
        <item x="52"/>
        <item x="64"/>
        <item x="72"/>
        <item x="73"/>
        <item x="76"/>
        <item x="83"/>
        <item x="85"/>
        <item x="91"/>
        <item x="234"/>
        <item x="62"/>
        <item x="113"/>
        <item x="128"/>
        <item x="130"/>
        <item x="136"/>
        <item x="141"/>
        <item x="148"/>
        <item x="149"/>
        <item x="214"/>
        <item x="238"/>
        <item x="156"/>
        <item x="189"/>
        <item x="191"/>
        <item x="134"/>
        <item x="21"/>
        <item x="37"/>
        <item x="235"/>
        <item x="118"/>
        <item x="145"/>
        <item x="236"/>
        <item x="247"/>
        <item x="163"/>
        <item x="164"/>
        <item x="168"/>
        <item m="1" x="253"/>
        <item x="185"/>
        <item x="190"/>
        <item x="195"/>
        <item x="19"/>
        <item x="22"/>
        <item x="31"/>
        <item x="98"/>
        <item x="155"/>
        <item x="181"/>
        <item x="200"/>
        <item x="25"/>
        <item x="36"/>
        <item x="47"/>
        <item x="69"/>
        <item x="81"/>
        <item x="84"/>
        <item m="1" x="254"/>
        <item x="107"/>
        <item x="112"/>
        <item x="222"/>
        <item x="117"/>
        <item x="224"/>
        <item x="241"/>
        <item x="240"/>
        <item x="154"/>
        <item x="157"/>
        <item x="159"/>
        <item x="161"/>
        <item x="177"/>
        <item x="208"/>
        <item x="23"/>
        <item x="26"/>
        <item x="38"/>
        <item x="44"/>
        <item x="115"/>
        <item x="129"/>
        <item x="153"/>
        <item x="9"/>
        <item x="42"/>
        <item x="60"/>
        <item x="219"/>
        <item x="137"/>
        <item x="170"/>
        <item x="196"/>
        <item x="201"/>
        <item x="80"/>
        <item x="167"/>
        <item x="87"/>
        <item x="209"/>
        <item x="172"/>
        <item x="182"/>
        <item x="198"/>
        <item x="205"/>
        <item x="230"/>
        <item x="187"/>
        <item x="193"/>
        <item x="207"/>
        <item x="10"/>
        <item x="11"/>
        <item x="105"/>
        <item x="227"/>
        <item x="27"/>
        <item x="28"/>
        <item x="48"/>
        <item x="49"/>
        <item x="57"/>
        <item x="59"/>
        <item x="250"/>
        <item x="82"/>
        <item x="184"/>
        <item m="1" x="255"/>
        <item x="229"/>
        <item x="123"/>
        <item x="147"/>
        <item x="151"/>
        <item x="217"/>
        <item x="54"/>
        <item x="138"/>
        <item x="133"/>
        <item x="51"/>
        <item m="1" x="256"/>
        <item x="12"/>
        <item x="16"/>
        <item x="20"/>
        <item x="30"/>
        <item x="248"/>
        <item x="55"/>
        <item x="75"/>
        <item x="100"/>
        <item x="106"/>
        <item x="110"/>
        <item x="237"/>
        <item x="116"/>
        <item x="120"/>
        <item x="126"/>
        <item x="215"/>
        <item x="171"/>
        <item x="197"/>
        <item x="71"/>
        <item x="203"/>
        <item x="119"/>
        <item x="5"/>
        <item x="7"/>
        <item x="14"/>
        <item x="17"/>
        <item x="220"/>
        <item m="1" x="257"/>
        <item x="242"/>
        <item x="216"/>
        <item x="243"/>
        <item x="213"/>
        <item x="233"/>
        <item x="93"/>
        <item x="99"/>
        <item x="114"/>
        <item x="212"/>
        <item x="122"/>
        <item x="125"/>
        <item x="127"/>
        <item x="135"/>
        <item x="144"/>
        <item x="210"/>
        <item x="150"/>
        <item x="221"/>
        <item x="166"/>
        <item x="175"/>
        <item x="176"/>
        <item x="178"/>
        <item x="180"/>
        <item m="1" x="258"/>
        <item x="239"/>
        <item x="192"/>
        <item x="194"/>
        <item x="199"/>
        <item x="246"/>
        <item x="50"/>
        <item x="131"/>
        <item x="231"/>
        <item x="88"/>
        <item x="94"/>
        <item x="95"/>
        <item x="97"/>
        <item x="121"/>
        <item x="46"/>
        <item x="140"/>
        <item x="249"/>
        <item x="162"/>
        <item x="169"/>
        <item x="4"/>
        <item x="39"/>
        <item x="68"/>
        <item x="226"/>
        <item x="158"/>
        <item x="228"/>
        <item x="218"/>
        <item x="58"/>
        <item x="56"/>
        <item x="65"/>
        <item x="0"/>
        <item x="132"/>
        <item x="173"/>
        <item x="160"/>
        <item x="244"/>
        <item x="34"/>
        <item x="211"/>
        <item x="41"/>
        <item x="63"/>
        <item x="70"/>
        <item x="78"/>
        <item x="90"/>
        <item x="102"/>
        <item x="103"/>
        <item x="139"/>
        <item x="6"/>
        <item x="33"/>
        <item x="225"/>
        <item x="77"/>
        <item x="232"/>
        <item x="92"/>
        <item x="96"/>
        <item x="101"/>
        <item x="109"/>
        <item x="124"/>
        <item x="143"/>
        <item x="146"/>
        <item x="174"/>
        <item x="179"/>
        <item x="165"/>
        <item x="188"/>
        <item x="204"/>
        <item x="206"/>
        <item x="1"/>
        <item x="8"/>
        <item x="74"/>
        <item x="86"/>
        <item x="104"/>
        <item m="1" x="259"/>
        <item x="152"/>
        <item x="202"/>
        <item x="3"/>
        <item x="223"/>
        <item x="29"/>
        <item x="35"/>
        <item x="89"/>
        <item x="53"/>
        <item x="61"/>
        <item x="79"/>
        <item x="186"/>
        <item x="2"/>
        <item x="67"/>
        <item x="108"/>
        <item x="183"/>
        <item x="66"/>
        <item x="111"/>
        <item x="251"/>
      </items>
    </pivotField>
    <pivotField compact="0" outline="0" showAll="0"/>
    <pivotField dataField="1" compact="0" outline="0" showAll="0" sortType="ascending" defaultSubtotal="0"/>
    <pivotField axis="axisRow" compact="0" outline="0" showAll="0">
      <items count="247">
        <item x="0"/>
        <item x="1"/>
        <item x="2"/>
        <item x="3"/>
        <item x="4"/>
        <item x="5"/>
        <item x="6"/>
        <item x="7"/>
        <item x="8"/>
        <item x="9"/>
        <item x="22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5"/>
        <item x="22"/>
        <item x="23"/>
        <item x="24"/>
        <item x="25"/>
        <item x="26"/>
        <item x="224"/>
        <item x="217"/>
        <item x="27"/>
        <item x="28"/>
        <item x="29"/>
        <item x="30"/>
        <item x="31"/>
        <item x="32"/>
        <item x="33"/>
        <item x="34"/>
        <item x="35"/>
        <item x="36"/>
        <item x="37"/>
        <item x="209"/>
        <item x="38"/>
        <item x="39"/>
        <item x="239"/>
        <item x="40"/>
        <item x="241"/>
        <item x="41"/>
        <item x="232"/>
        <item x="42"/>
        <item x="243"/>
        <item x="43"/>
        <item x="44"/>
        <item x="89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214"/>
        <item x="60"/>
        <item x="61"/>
        <item x="62"/>
        <item x="227"/>
        <item x="63"/>
        <item x="64"/>
        <item x="216"/>
        <item m="1" x="245"/>
        <item x="65"/>
        <item x="222"/>
        <item x="66"/>
        <item x="67"/>
        <item x="68"/>
        <item x="69"/>
        <item x="70"/>
        <item x="71"/>
        <item x="72"/>
        <item x="73"/>
        <item x="228"/>
        <item x="74"/>
        <item x="75"/>
        <item x="76"/>
        <item x="77"/>
        <item x="78"/>
        <item x="79"/>
        <item x="229"/>
        <item x="211"/>
        <item x="80"/>
        <item x="230"/>
        <item x="81"/>
        <item x="82"/>
        <item x="83"/>
        <item x="165"/>
        <item x="84"/>
        <item x="85"/>
        <item x="86"/>
        <item x="87"/>
        <item x="88"/>
        <item x="90"/>
        <item x="91"/>
        <item x="182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26"/>
        <item x="106"/>
        <item x="231"/>
        <item x="107"/>
        <item x="108"/>
        <item x="109"/>
        <item x="110"/>
        <item x="223"/>
        <item x="111"/>
        <item x="112"/>
        <item x="219"/>
        <item x="113"/>
        <item x="234"/>
        <item x="114"/>
        <item x="115"/>
        <item x="116"/>
        <item x="117"/>
        <item x="118"/>
        <item x="210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21"/>
        <item x="136"/>
        <item x="238"/>
        <item x="213"/>
        <item x="137"/>
        <item x="138"/>
        <item x="139"/>
        <item x="237"/>
        <item x="140"/>
        <item x="207"/>
        <item x="141"/>
        <item x="142"/>
        <item x="143"/>
        <item x="144"/>
        <item x="145"/>
        <item x="146"/>
        <item x="147"/>
        <item x="208"/>
        <item x="148"/>
        <item x="212"/>
        <item x="149"/>
        <item x="150"/>
        <item x="151"/>
        <item x="244"/>
        <item x="235"/>
        <item x="152"/>
        <item x="153"/>
        <item x="154"/>
        <item x="233"/>
        <item x="155"/>
        <item x="156"/>
        <item x="218"/>
        <item x="157"/>
        <item x="158"/>
        <item x="159"/>
        <item x="242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215"/>
        <item x="179"/>
        <item x="180"/>
        <item x="181"/>
        <item x="183"/>
        <item x="236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40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9"/>
  </rowFields>
  <rowItems count="252">
    <i>
      <x/>
      <x v="245"/>
    </i>
    <i>
      <x v="1"/>
      <x v="14"/>
    </i>
    <i>
      <x v="2"/>
      <x v="16"/>
    </i>
    <i>
      <x v="3"/>
      <x v="19"/>
    </i>
    <i>
      <x v="4"/>
      <x v="26"/>
    </i>
    <i>
      <x v="6"/>
      <x v="36"/>
    </i>
    <i>
      <x v="7"/>
      <x v="46"/>
    </i>
    <i>
      <x v="8"/>
      <x v="52"/>
    </i>
    <i>
      <x v="9"/>
      <x v="55"/>
    </i>
    <i>
      <x v="10"/>
      <x v="170"/>
    </i>
    <i>
      <x v="11"/>
      <x v="62"/>
    </i>
    <i>
      <x v="12"/>
      <x v="76"/>
    </i>
    <i>
      <x v="13"/>
      <x v="87"/>
    </i>
    <i>
      <x v="14"/>
      <x v="88"/>
    </i>
    <i>
      <x v="15"/>
      <x v="92"/>
    </i>
    <i>
      <x v="16"/>
      <x v="102"/>
    </i>
    <i>
      <x v="17"/>
      <x v="105"/>
    </i>
    <i>
      <x v="18"/>
      <x v="110"/>
    </i>
    <i>
      <x v="19"/>
      <x v="128"/>
    </i>
    <i>
      <x v="20"/>
      <x v="73"/>
    </i>
    <i>
      <x v="21"/>
      <x v="135"/>
    </i>
    <i>
      <x v="22"/>
      <x v="153"/>
    </i>
    <i>
      <x v="23"/>
      <x v="155"/>
    </i>
    <i>
      <x v="24"/>
      <x v="161"/>
    </i>
    <i>
      <x v="25"/>
      <x v="168"/>
    </i>
    <i>
      <x v="26"/>
      <x v="177"/>
    </i>
    <i>
      <x v="27"/>
      <x v="178"/>
    </i>
    <i>
      <x v="28"/>
      <x v="181"/>
    </i>
    <i>
      <x v="29"/>
      <x v="186"/>
    </i>
    <i>
      <x v="30"/>
      <x v="189"/>
    </i>
    <i>
      <x v="31"/>
      <x v="225"/>
    </i>
    <i>
      <x v="32"/>
      <x v="227"/>
    </i>
    <i>
      <x v="33"/>
      <x v="159"/>
    </i>
    <i>
      <x v="34"/>
      <x v="22"/>
    </i>
    <i>
      <x v="35"/>
      <x v="41"/>
    </i>
    <i>
      <x v="36"/>
      <x v="49"/>
    </i>
    <i>
      <x v="37"/>
      <x v="142"/>
    </i>
    <i>
      <x v="38"/>
      <x v="174"/>
    </i>
    <i>
      <x v="39"/>
      <x v="190"/>
    </i>
    <i>
      <x v="40"/>
      <x v="197"/>
    </i>
    <i>
      <x v="41"/>
      <x v="199"/>
    </i>
    <i>
      <x v="42"/>
      <x v="200"/>
    </i>
    <i>
      <x v="43"/>
      <x v="203"/>
    </i>
    <i>
      <x v="45"/>
      <x v="220"/>
    </i>
    <i>
      <x v="46"/>
      <x v="226"/>
    </i>
    <i>
      <x v="47"/>
      <x v="231"/>
    </i>
    <i>
      <x v="48"/>
      <x v="20"/>
    </i>
    <i>
      <x v="49"/>
      <x v="24"/>
    </i>
    <i>
      <x v="50"/>
      <x v="35"/>
    </i>
    <i>
      <x v="51"/>
      <x v="117"/>
    </i>
    <i>
      <x v="52"/>
      <x v="188"/>
    </i>
    <i>
      <x v="53"/>
      <x v="217"/>
    </i>
    <i>
      <x v="54"/>
      <x v="236"/>
    </i>
    <i>
      <x v="55"/>
      <x v="27"/>
    </i>
    <i>
      <x v="56"/>
      <x v="40"/>
    </i>
    <i>
      <x v="57"/>
      <x v="57"/>
    </i>
    <i>
      <x v="58"/>
      <x v="84"/>
    </i>
    <i>
      <x v="59"/>
      <x v="100"/>
    </i>
    <i>
      <x v="60"/>
      <x v="104"/>
    </i>
    <i>
      <x v="62"/>
      <x v="127"/>
    </i>
    <i>
      <x v="63"/>
      <x v="134"/>
    </i>
    <i>
      <x v="64"/>
      <x v="136"/>
    </i>
    <i>
      <x v="65"/>
      <x v="141"/>
    </i>
    <i>
      <x v="66"/>
      <x v="162"/>
    </i>
    <i>
      <x v="67"/>
      <x v="164"/>
    </i>
    <i>
      <x v="68"/>
      <x v="169"/>
    </i>
    <i>
      <x v="69"/>
      <x v="187"/>
    </i>
    <i>
      <x v="70"/>
      <x v="191"/>
    </i>
    <i>
      <x v="71"/>
      <x v="194"/>
    </i>
    <i>
      <x v="72"/>
      <x v="196"/>
    </i>
    <i>
      <x v="73"/>
      <x v="212"/>
    </i>
    <i>
      <x v="74"/>
      <x v="244"/>
    </i>
    <i>
      <x v="75"/>
      <x v="25"/>
    </i>
    <i>
      <x v="76"/>
      <x v="28"/>
    </i>
    <i>
      <x v="77"/>
      <x v="43"/>
    </i>
    <i>
      <x v="78"/>
      <x v="53"/>
    </i>
    <i>
      <x v="79"/>
      <x v="139"/>
    </i>
    <i>
      <x v="80"/>
      <x v="154"/>
    </i>
    <i>
      <x v="81"/>
      <x v="184"/>
    </i>
    <i>
      <x v="82"/>
      <x v="9"/>
    </i>
    <i>
      <x v="83"/>
      <x v="50"/>
    </i>
    <i>
      <x v="84"/>
      <x v="71"/>
    </i>
    <i>
      <x v="85"/>
      <x v="77"/>
    </i>
    <i>
      <x v="86"/>
      <x v="163"/>
    </i>
    <i>
      <x v="87"/>
      <x v="205"/>
    </i>
    <i>
      <x v="88"/>
      <x v="232"/>
    </i>
    <i>
      <x v="89"/>
      <x v="237"/>
    </i>
    <i>
      <x v="90"/>
      <x v="98"/>
    </i>
    <i>
      <x v="91"/>
      <x v="103"/>
    </i>
    <i>
      <x v="92"/>
      <x v="107"/>
    </i>
    <i>
      <x v="93"/>
      <x v="171"/>
    </i>
    <i>
      <x v="94"/>
      <x v="207"/>
    </i>
    <i>
      <x v="95"/>
      <x v="218"/>
    </i>
    <i>
      <x v="96"/>
      <x v="234"/>
    </i>
    <i>
      <x v="97"/>
      <x v="241"/>
    </i>
    <i>
      <x v="98"/>
      <x v="74"/>
    </i>
    <i>
      <x v="99"/>
      <x v="223"/>
    </i>
    <i>
      <x v="100"/>
      <x v="229"/>
    </i>
    <i>
      <x v="101"/>
      <x v="243"/>
    </i>
    <i>
      <x v="102"/>
      <x v="11"/>
    </i>
    <i>
      <x v="103"/>
      <x v="12"/>
    </i>
    <i>
      <x v="104"/>
      <x v="124"/>
    </i>
    <i>
      <x v="105"/>
      <x v="29"/>
    </i>
    <i>
      <x v="106"/>
      <x v="31"/>
    </i>
    <i>
      <x v="107"/>
      <x v="32"/>
    </i>
    <i>
      <x v="108"/>
      <x v="58"/>
    </i>
    <i>
      <x v="109"/>
      <x v="59"/>
    </i>
    <i>
      <x v="110"/>
      <x v="67"/>
    </i>
    <i>
      <x v="111"/>
      <x v="69"/>
    </i>
    <i>
      <x v="112"/>
      <x v="101"/>
    </i>
    <i>
      <x v="113"/>
      <x v="101"/>
    </i>
    <i>
      <x v="114"/>
      <x v="111"/>
    </i>
    <i>
      <x v="116"/>
      <x v="126"/>
    </i>
    <i>
      <x v="117"/>
      <x v="148"/>
    </i>
    <i>
      <x v="118"/>
      <x v="176"/>
    </i>
    <i>
      <x v="119"/>
      <x v="182"/>
    </i>
    <i>
      <x v="120"/>
      <x v="216"/>
    </i>
    <i>
      <x v="121"/>
      <x v="64"/>
    </i>
    <i>
      <x v="122"/>
      <x v="163"/>
    </i>
    <i>
      <x v="123"/>
      <x v="158"/>
    </i>
    <i>
      <x v="124"/>
      <x v="61"/>
    </i>
    <i>
      <x v="126"/>
      <x v="13"/>
    </i>
    <i>
      <x v="127"/>
      <x v="17"/>
    </i>
    <i>
      <x v="128"/>
      <x v="21"/>
    </i>
    <i>
      <x v="129"/>
      <x v="34"/>
    </i>
    <i>
      <x v="130"/>
      <x v="51"/>
    </i>
    <i>
      <x v="131"/>
      <x v="65"/>
    </i>
    <i>
      <x v="132"/>
      <x v="91"/>
    </i>
    <i>
      <x v="133"/>
      <x v="119"/>
    </i>
    <i>
      <x v="134"/>
      <x v="125"/>
    </i>
    <i>
      <x v="135"/>
      <x v="131"/>
    </i>
    <i>
      <x v="136"/>
      <x v="138"/>
    </i>
    <i>
      <x v="137"/>
      <x v="140"/>
    </i>
    <i>
      <x v="138"/>
      <x v="145"/>
    </i>
    <i>
      <x v="139"/>
      <x v="151"/>
    </i>
    <i>
      <x v="140"/>
      <x v="165"/>
    </i>
    <i>
      <x v="141"/>
      <x v="206"/>
    </i>
    <i>
      <x v="142"/>
      <x v="233"/>
    </i>
    <i>
      <x v="143"/>
      <x v="86"/>
    </i>
    <i>
      <x v="144"/>
      <x v="239"/>
    </i>
    <i>
      <x v="145"/>
      <x v="143"/>
    </i>
    <i>
      <x v="146"/>
      <x v="5"/>
    </i>
    <i>
      <x v="147"/>
      <x v="7"/>
    </i>
    <i>
      <x v="148"/>
      <x v="15"/>
    </i>
    <i>
      <x v="149"/>
      <x v="18"/>
    </i>
    <i>
      <x v="150"/>
      <x v="30"/>
    </i>
    <i>
      <x v="152"/>
      <x v="45"/>
    </i>
    <i>
      <x v="153"/>
      <x v="70"/>
    </i>
    <i>
      <x v="154"/>
      <x v="97"/>
    </i>
    <i>
      <x v="155"/>
      <x v="97"/>
    </i>
    <i>
      <x v="156"/>
      <x v="99"/>
    </i>
    <i>
      <x v="157"/>
      <x v="112"/>
    </i>
    <i>
      <x v="158"/>
      <x v="118"/>
    </i>
    <i>
      <x v="159"/>
      <x v="137"/>
    </i>
    <i>
      <x v="160"/>
      <x v="144"/>
    </i>
    <i>
      <x v="161"/>
      <x v="147"/>
    </i>
    <i>
      <x v="162"/>
      <x v="150"/>
    </i>
    <i>
      <x v="163"/>
      <x v="152"/>
    </i>
    <i>
      <x v="164"/>
      <x v="160"/>
    </i>
    <i>
      <x v="165"/>
      <x v="173"/>
    </i>
    <i>
      <x v="166"/>
      <x v="179"/>
    </i>
    <i>
      <x v="167"/>
      <x v="180"/>
    </i>
    <i>
      <x v="168"/>
      <x v="193"/>
    </i>
    <i>
      <x v="169"/>
      <x v="202"/>
    </i>
    <i>
      <x v="170"/>
      <x v="210"/>
    </i>
    <i>
      <x v="171"/>
      <x v="211"/>
    </i>
    <i>
      <x v="172"/>
      <x v="213"/>
    </i>
    <i>
      <x v="173"/>
      <x v="215"/>
    </i>
    <i>
      <x v="175"/>
      <x v="221"/>
    </i>
    <i>
      <x v="176"/>
      <x v="228"/>
    </i>
    <i>
      <x v="177"/>
      <x v="230"/>
    </i>
    <i>
      <x v="178"/>
      <x v="235"/>
    </i>
    <i>
      <x v="179"/>
      <x v="47"/>
    </i>
    <i>
      <x v="180"/>
      <x v="60"/>
    </i>
    <i>
      <x v="181"/>
      <x v="156"/>
    </i>
    <i>
      <x v="182"/>
      <x v="89"/>
    </i>
    <i>
      <x v="183"/>
      <x v="108"/>
    </i>
    <i>
      <x v="184"/>
      <x v="113"/>
    </i>
    <i>
      <x v="185"/>
      <x v="114"/>
    </i>
    <i>
      <x v="186"/>
      <x v="116"/>
    </i>
    <i>
      <x v="187"/>
      <x v="146"/>
    </i>
    <i>
      <x v="188"/>
      <x v="56"/>
    </i>
    <i>
      <x v="189"/>
      <x v="167"/>
    </i>
    <i>
      <x v="190"/>
      <x v="185"/>
    </i>
    <i>
      <x v="191"/>
      <x v="198"/>
    </i>
    <i>
      <x v="192"/>
      <x v="204"/>
    </i>
    <i>
      <x v="193"/>
      <x v="4"/>
    </i>
    <i>
      <x v="194"/>
      <x v="44"/>
    </i>
    <i>
      <x v="195"/>
      <x v="83"/>
    </i>
    <i>
      <x v="196"/>
      <x v="133"/>
    </i>
    <i>
      <x v="197"/>
      <x v="192"/>
    </i>
    <i>
      <x v="198"/>
      <x v="23"/>
    </i>
    <i>
      <x v="199"/>
      <x v="236"/>
    </i>
    <i>
      <x v="200"/>
      <x v="68"/>
    </i>
    <i>
      <x v="201"/>
      <x v="66"/>
    </i>
    <i>
      <x v="202"/>
      <x v="79"/>
    </i>
    <i>
      <x v="203"/>
      <x/>
    </i>
    <i>
      <x v="204"/>
      <x v="157"/>
    </i>
    <i>
      <x v="205"/>
      <x v="208"/>
    </i>
    <i>
      <x v="206"/>
      <x v="195"/>
    </i>
    <i>
      <x v="207"/>
      <x v="236"/>
    </i>
    <i>
      <x v="208"/>
      <x v="38"/>
    </i>
    <i>
      <x v="209"/>
      <x v="42"/>
    </i>
    <i>
      <x v="210"/>
      <x v="48"/>
    </i>
    <i>
      <x v="211"/>
      <x v="75"/>
    </i>
    <i>
      <x v="212"/>
      <x v="85"/>
    </i>
    <i>
      <x v="213"/>
      <x v="94"/>
    </i>
    <i>
      <x v="214"/>
      <x v="109"/>
    </i>
    <i>
      <x v="215"/>
      <x v="121"/>
    </i>
    <i>
      <x v="216"/>
      <x v="122"/>
    </i>
    <i>
      <x v="217"/>
      <x v="166"/>
    </i>
    <i>
      <x v="218"/>
      <x v="6"/>
    </i>
    <i>
      <x v="219"/>
      <x v="37"/>
    </i>
    <i>
      <x v="220"/>
      <x v="80"/>
    </i>
    <i>
      <x v="221"/>
      <x v="93"/>
    </i>
    <i>
      <x v="222"/>
      <x v="96"/>
    </i>
    <i>
      <x v="223"/>
      <x v="112"/>
    </i>
    <i>
      <x v="224"/>
      <x v="115"/>
    </i>
    <i>
      <x v="225"/>
      <x v="120"/>
    </i>
    <i>
      <x v="226"/>
      <x v="130"/>
    </i>
    <i>
      <x v="227"/>
      <x v="149"/>
    </i>
    <i>
      <x v="228"/>
      <x v="172"/>
    </i>
    <i>
      <x v="229"/>
      <x v="175"/>
    </i>
    <i>
      <x v="230"/>
      <x v="209"/>
    </i>
    <i>
      <x v="231"/>
      <x v="214"/>
    </i>
    <i>
      <x v="232"/>
      <x v="201"/>
    </i>
    <i>
      <x v="233"/>
      <x v="224"/>
    </i>
    <i>
      <x v="234"/>
      <x v="240"/>
    </i>
    <i>
      <x v="235"/>
      <x v="242"/>
    </i>
    <i>
      <x v="236"/>
      <x v="1"/>
    </i>
    <i>
      <x v="237"/>
      <x v="8"/>
    </i>
    <i>
      <x v="238"/>
      <x v="90"/>
    </i>
    <i>
      <x v="239"/>
      <x v="106"/>
    </i>
    <i>
      <x v="240"/>
      <x v="123"/>
    </i>
    <i>
      <x v="242"/>
      <x v="183"/>
    </i>
    <i>
      <x v="243"/>
      <x v="238"/>
    </i>
    <i>
      <x v="244"/>
      <x v="3"/>
    </i>
    <i>
      <x v="245"/>
      <x v="10"/>
    </i>
    <i>
      <x v="246"/>
      <x v="33"/>
    </i>
    <i>
      <x v="247"/>
      <x v="39"/>
    </i>
    <i>
      <x v="248"/>
      <x v="54"/>
    </i>
    <i>
      <x v="249"/>
      <x v="63"/>
    </i>
    <i>
      <x v="250"/>
      <x v="72"/>
    </i>
    <i>
      <x v="251"/>
      <x v="95"/>
    </i>
    <i>
      <x v="252"/>
      <x v="222"/>
    </i>
    <i>
      <x v="253"/>
      <x v="2"/>
    </i>
    <i>
      <x v="254"/>
      <x v="82"/>
    </i>
    <i>
      <x v="255"/>
      <x v="129"/>
    </i>
    <i>
      <x v="256"/>
      <x v="219"/>
    </i>
    <i>
      <x v="257"/>
      <x v="81"/>
    </i>
    <i>
      <x v="258"/>
      <x v="132"/>
    </i>
    <i>
      <x v="259"/>
      <x v="245"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Nombre de Séance" fld="8" subtotal="count" baseField="6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338"/>
  <sheetViews>
    <sheetView zoomScaleNormal="100" workbookViewId="0">
      <pane ySplit="1" topLeftCell="A2" activePane="bottomLeft" state="frozen"/>
      <selection pane="bottomLeft" activeCell="H366" sqref="H366"/>
    </sheetView>
  </sheetViews>
  <sheetFormatPr baseColWidth="10" defaultColWidth="8.69140625" defaultRowHeight="14.6" x14ac:dyDescent="0.4"/>
  <cols>
    <col min="2" max="2" width="7" hidden="1" customWidth="1"/>
    <col min="3" max="3" width="12.84375" bestFit="1" customWidth="1"/>
    <col min="4" max="4" width="7.53515625" customWidth="1"/>
    <col min="5" max="5" width="8.69140625" customWidth="1"/>
    <col min="6" max="6" width="8" hidden="1" customWidth="1"/>
    <col min="7" max="7" width="15.84375" hidden="1" customWidth="1"/>
    <col min="8" max="8" width="20.69140625" customWidth="1"/>
    <col min="9" max="9" width="17.765625" customWidth="1"/>
    <col min="10" max="10" width="13" customWidth="1"/>
    <col min="11" max="11" width="27" bestFit="1" customWidth="1"/>
    <col min="12" max="12" width="18.3046875" customWidth="1"/>
    <col min="13" max="13" width="27.53515625" customWidth="1"/>
    <col min="14" max="14" width="6.84375" customWidth="1"/>
    <col min="15" max="15" width="5" customWidth="1"/>
    <col min="16" max="16" width="3.84375" customWidth="1"/>
  </cols>
  <sheetData>
    <row r="1" spans="1:17" x14ac:dyDescent="0.4">
      <c r="A1" s="1" t="s">
        <v>744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620</v>
      </c>
      <c r="J1" s="1" t="s">
        <v>0</v>
      </c>
      <c r="K1" s="1" t="s">
        <v>7</v>
      </c>
      <c r="L1" s="1" t="s">
        <v>8</v>
      </c>
      <c r="M1" s="1" t="s">
        <v>619</v>
      </c>
      <c r="N1" s="1" t="s">
        <v>711</v>
      </c>
      <c r="Q1" s="1" t="s">
        <v>753</v>
      </c>
    </row>
    <row r="2" spans="1:17" hidden="1" x14ac:dyDescent="0.4">
      <c r="A2">
        <v>1</v>
      </c>
      <c r="B2" s="2"/>
      <c r="C2" s="4">
        <v>45909</v>
      </c>
      <c r="D2" s="5">
        <v>0.39583333333333331</v>
      </c>
      <c r="E2" s="5">
        <v>0.47916666666666669</v>
      </c>
      <c r="F2" s="2" t="s">
        <v>9</v>
      </c>
      <c r="G2" s="2" t="s">
        <v>10</v>
      </c>
      <c r="H2" s="2" t="s">
        <v>471</v>
      </c>
      <c r="I2" s="2" t="s">
        <v>472</v>
      </c>
      <c r="J2" s="2">
        <v>104959</v>
      </c>
      <c r="K2" s="2" t="s">
        <v>473</v>
      </c>
      <c r="L2" s="2" t="s">
        <v>18</v>
      </c>
      <c r="M2" t="str">
        <f>I2 &amp; " " &amp; K2</f>
        <v>Pierre Louis Agondjo Ndenguinot</v>
      </c>
      <c r="Q2" t="str">
        <f>J2&amp;H2</f>
        <v>104959plagondjondenguinot</v>
      </c>
    </row>
    <row r="3" spans="1:17" hidden="1" x14ac:dyDescent="0.4">
      <c r="A3">
        <v>3</v>
      </c>
      <c r="B3" s="2"/>
      <c r="C3" s="4">
        <v>45908</v>
      </c>
      <c r="D3" s="5">
        <v>0.58333333333333337</v>
      </c>
      <c r="E3" s="5">
        <v>0.64583333333333337</v>
      </c>
      <c r="F3" s="2" t="s">
        <v>9</v>
      </c>
      <c r="G3" s="2" t="s">
        <v>10</v>
      </c>
      <c r="H3" s="2" t="s">
        <v>471</v>
      </c>
      <c r="I3" s="2" t="s">
        <v>472</v>
      </c>
      <c r="J3" s="2">
        <v>104551</v>
      </c>
      <c r="K3" s="2" t="s">
        <v>473</v>
      </c>
      <c r="L3" s="2" t="s">
        <v>18</v>
      </c>
      <c r="M3" t="str">
        <f>I3 &amp; " " &amp; K3</f>
        <v>Pierre Louis Agondjo Ndenguinot</v>
      </c>
      <c r="Q3" t="str">
        <f t="shared" ref="Q3:Q55" si="0">J3&amp;H3</f>
        <v>104551plagondjondenguinot</v>
      </c>
    </row>
    <row r="4" spans="1:17" hidden="1" x14ac:dyDescent="0.4">
      <c r="A4">
        <v>4</v>
      </c>
      <c r="B4" s="2"/>
      <c r="C4" s="4">
        <v>45908</v>
      </c>
      <c r="D4" s="5">
        <v>0.47916666666666669</v>
      </c>
      <c r="E4" s="5">
        <v>0.54166666666666663</v>
      </c>
      <c r="F4" s="2" t="s">
        <v>9</v>
      </c>
      <c r="G4" s="2" t="s">
        <v>10</v>
      </c>
      <c r="H4" s="2" t="s">
        <v>471</v>
      </c>
      <c r="I4" s="2" t="s">
        <v>472</v>
      </c>
      <c r="J4" s="2">
        <v>104550</v>
      </c>
      <c r="K4" s="2" t="s">
        <v>473</v>
      </c>
      <c r="L4" s="2" t="s">
        <v>18</v>
      </c>
      <c r="M4" t="str">
        <f>I4 &amp; " " &amp; K4</f>
        <v>Pierre Louis Agondjo Ndenguinot</v>
      </c>
      <c r="Q4" t="str">
        <f t="shared" si="0"/>
        <v>104550plagondjondenguinot</v>
      </c>
    </row>
    <row r="5" spans="1:17" hidden="1" x14ac:dyDescent="0.4">
      <c r="A5">
        <v>5</v>
      </c>
      <c r="B5" s="2"/>
      <c r="C5" s="4">
        <v>45908</v>
      </c>
      <c r="D5" s="5">
        <v>0.375</v>
      </c>
      <c r="E5" s="5">
        <v>0.4375</v>
      </c>
      <c r="F5" s="2" t="s">
        <v>9</v>
      </c>
      <c r="G5" s="2" t="s">
        <v>10</v>
      </c>
      <c r="H5" s="2" t="s">
        <v>471</v>
      </c>
      <c r="I5" s="2" t="s">
        <v>472</v>
      </c>
      <c r="J5" s="2">
        <v>102916</v>
      </c>
      <c r="K5" s="2" t="s">
        <v>473</v>
      </c>
      <c r="L5" s="2" t="s">
        <v>18</v>
      </c>
      <c r="M5" t="str">
        <f>K5 &amp; " " &amp; I5</f>
        <v>Agondjo Ndenguinot Pierre Louis</v>
      </c>
      <c r="Q5" t="str">
        <f t="shared" si="0"/>
        <v>102916plagondjondenguinot</v>
      </c>
    </row>
    <row r="6" spans="1:17" hidden="1" x14ac:dyDescent="0.4">
      <c r="A6">
        <v>6</v>
      </c>
      <c r="B6" s="2"/>
      <c r="C6" s="4">
        <v>45909</v>
      </c>
      <c r="D6" s="5">
        <v>0.39583333333333331</v>
      </c>
      <c r="E6" s="5">
        <v>0.47916666666666669</v>
      </c>
      <c r="F6" s="2" t="s">
        <v>9</v>
      </c>
      <c r="G6" s="2" t="s">
        <v>10</v>
      </c>
      <c r="H6" s="2" t="s">
        <v>554</v>
      </c>
      <c r="I6" s="2" t="s">
        <v>621</v>
      </c>
      <c r="J6" s="2">
        <v>104959</v>
      </c>
      <c r="K6" s="2" t="s">
        <v>556</v>
      </c>
      <c r="L6" s="2" t="s">
        <v>18</v>
      </c>
      <c r="M6" t="str">
        <f t="shared" ref="M6:M12" si="1">I6 &amp; " " &amp; K6</f>
        <v>b  Aguerre</v>
      </c>
      <c r="Q6" t="str">
        <f t="shared" si="0"/>
        <v>104959taguerre</v>
      </c>
    </row>
    <row r="7" spans="1:17" hidden="1" x14ac:dyDescent="0.4">
      <c r="A7">
        <v>7</v>
      </c>
      <c r="B7" s="2"/>
      <c r="C7" s="4">
        <v>45909</v>
      </c>
      <c r="D7" s="5">
        <v>0.39583333333333331</v>
      </c>
      <c r="E7" s="5">
        <v>0.47916666666666669</v>
      </c>
      <c r="F7" s="2" t="s">
        <v>9</v>
      </c>
      <c r="G7" s="2" t="s">
        <v>10</v>
      </c>
      <c r="H7" s="2" t="s">
        <v>595</v>
      </c>
      <c r="I7" s="2" t="s">
        <v>596</v>
      </c>
      <c r="J7" s="2">
        <v>104959</v>
      </c>
      <c r="K7" s="2" t="s">
        <v>597</v>
      </c>
      <c r="L7" s="2" t="s">
        <v>18</v>
      </c>
      <c r="M7" t="str">
        <f t="shared" si="1"/>
        <v>Yui Amano</v>
      </c>
      <c r="Q7" t="str">
        <f t="shared" si="0"/>
        <v>104959yamano</v>
      </c>
    </row>
    <row r="8" spans="1:17" hidden="1" x14ac:dyDescent="0.4">
      <c r="A8">
        <v>8</v>
      </c>
      <c r="B8" s="2"/>
      <c r="C8" s="4">
        <v>45908</v>
      </c>
      <c r="D8" s="5">
        <v>0.66666666666666663</v>
      </c>
      <c r="E8" s="5">
        <v>0.72916666666666663</v>
      </c>
      <c r="F8" s="2" t="s">
        <v>9</v>
      </c>
      <c r="G8" s="2" t="s">
        <v>10</v>
      </c>
      <c r="H8" s="2" t="s">
        <v>554</v>
      </c>
      <c r="I8" s="2" t="s">
        <v>555</v>
      </c>
      <c r="J8" s="2">
        <v>104855</v>
      </c>
      <c r="K8" s="2" t="s">
        <v>556</v>
      </c>
      <c r="L8" s="2" t="s">
        <v>18</v>
      </c>
      <c r="M8" t="str">
        <f t="shared" si="1"/>
        <v>Tristan Aguerre</v>
      </c>
      <c r="Q8" t="str">
        <f t="shared" si="0"/>
        <v>104855taguerre</v>
      </c>
    </row>
    <row r="9" spans="1:17" hidden="1" x14ac:dyDescent="0.4">
      <c r="A9">
        <v>10</v>
      </c>
      <c r="B9" s="2"/>
      <c r="C9" s="4">
        <v>45908</v>
      </c>
      <c r="D9" s="5">
        <v>0.58333333333333337</v>
      </c>
      <c r="E9" s="5">
        <v>0.64583333333333337</v>
      </c>
      <c r="F9" s="2" t="s">
        <v>9</v>
      </c>
      <c r="G9" s="2" t="s">
        <v>10</v>
      </c>
      <c r="H9" s="2" t="s">
        <v>554</v>
      </c>
      <c r="I9" s="2" t="s">
        <v>555</v>
      </c>
      <c r="J9" s="2">
        <v>104551</v>
      </c>
      <c r="K9" s="2" t="s">
        <v>556</v>
      </c>
      <c r="L9" s="2" t="s">
        <v>18</v>
      </c>
      <c r="M9" t="str">
        <f t="shared" si="1"/>
        <v>Tristan Aguerre</v>
      </c>
      <c r="Q9" t="str">
        <f t="shared" si="0"/>
        <v>104551taguerre</v>
      </c>
    </row>
    <row r="10" spans="1:17" hidden="1" x14ac:dyDescent="0.4">
      <c r="A10">
        <v>11</v>
      </c>
      <c r="B10" s="2"/>
      <c r="C10" s="4">
        <v>45908</v>
      </c>
      <c r="D10" s="5">
        <v>0.47916666666666669</v>
      </c>
      <c r="E10" s="5">
        <v>0.54166666666666663</v>
      </c>
      <c r="F10" s="2" t="s">
        <v>9</v>
      </c>
      <c r="G10" s="2" t="s">
        <v>10</v>
      </c>
      <c r="H10" s="2" t="s">
        <v>554</v>
      </c>
      <c r="I10" s="2" t="s">
        <v>555</v>
      </c>
      <c r="J10" s="2">
        <v>104550</v>
      </c>
      <c r="K10" s="2" t="s">
        <v>556</v>
      </c>
      <c r="L10" s="2" t="s">
        <v>18</v>
      </c>
      <c r="M10" t="str">
        <f t="shared" si="1"/>
        <v>Tristan Aguerre</v>
      </c>
      <c r="Q10" t="str">
        <f t="shared" si="0"/>
        <v>104550taguerre</v>
      </c>
    </row>
    <row r="11" spans="1:17" hidden="1" x14ac:dyDescent="0.4">
      <c r="A11">
        <v>12</v>
      </c>
      <c r="B11" s="2"/>
      <c r="C11" s="4">
        <v>45908</v>
      </c>
      <c r="D11" s="5">
        <v>0.375</v>
      </c>
      <c r="E11" s="5">
        <v>0.4375</v>
      </c>
      <c r="F11" s="2" t="s">
        <v>9</v>
      </c>
      <c r="G11" s="2" t="s">
        <v>10</v>
      </c>
      <c r="H11" s="2" t="s">
        <v>554</v>
      </c>
      <c r="I11" s="2" t="s">
        <v>555</v>
      </c>
      <c r="J11" s="2">
        <v>102916</v>
      </c>
      <c r="K11" s="2" t="s">
        <v>556</v>
      </c>
      <c r="L11" s="2" t="s">
        <v>18</v>
      </c>
      <c r="M11" t="str">
        <f t="shared" si="1"/>
        <v>Tristan Aguerre</v>
      </c>
      <c r="Q11" t="str">
        <f t="shared" si="0"/>
        <v>102916taguerre</v>
      </c>
    </row>
    <row r="12" spans="1:17" hidden="1" x14ac:dyDescent="0.4">
      <c r="A12">
        <v>13</v>
      </c>
      <c r="B12" s="2"/>
      <c r="C12" s="4">
        <v>45909</v>
      </c>
      <c r="D12" s="5">
        <v>0.39583333333333331</v>
      </c>
      <c r="E12" s="5">
        <v>0.47916666666666669</v>
      </c>
      <c r="F12" s="2" t="s">
        <v>9</v>
      </c>
      <c r="G12" s="2" t="s">
        <v>10</v>
      </c>
      <c r="H12" s="2" t="s">
        <v>574</v>
      </c>
      <c r="I12" s="2" t="s">
        <v>575</v>
      </c>
      <c r="J12" s="2">
        <v>104959</v>
      </c>
      <c r="K12" s="2" t="s">
        <v>576</v>
      </c>
      <c r="L12" s="2" t="s">
        <v>18</v>
      </c>
      <c r="M12" t="str">
        <f t="shared" si="1"/>
        <v>Vincent Amir-Tahmasseb</v>
      </c>
      <c r="Q12" t="str">
        <f t="shared" si="0"/>
        <v>104959vamirtahmasseb</v>
      </c>
    </row>
    <row r="13" spans="1:17" hidden="1" x14ac:dyDescent="0.4">
      <c r="A13">
        <v>14</v>
      </c>
      <c r="B13" s="2"/>
      <c r="C13" s="4">
        <v>45909</v>
      </c>
      <c r="D13" s="5">
        <v>0.39583333333333331</v>
      </c>
      <c r="E13" s="5">
        <v>0.47916666666666669</v>
      </c>
      <c r="F13" s="2" t="s">
        <v>9</v>
      </c>
      <c r="G13" s="2" t="s">
        <v>10</v>
      </c>
      <c r="H13" s="2" t="s">
        <v>450</v>
      </c>
      <c r="I13" s="2" t="s">
        <v>451</v>
      </c>
      <c r="J13" s="2">
        <v>104959</v>
      </c>
      <c r="K13" s="2" t="s">
        <v>452</v>
      </c>
      <c r="L13" s="2" t="s">
        <v>14</v>
      </c>
      <c r="M13" t="str">
        <f>K13 &amp; " " &amp; I13</f>
        <v>Angloma Noam, Sofiane, Milo</v>
      </c>
      <c r="Q13" t="str">
        <f t="shared" si="0"/>
        <v>104959nsmangloma</v>
      </c>
    </row>
    <row r="14" spans="1:17" hidden="1" x14ac:dyDescent="0.4">
      <c r="A14">
        <v>15</v>
      </c>
      <c r="B14" s="2"/>
      <c r="C14" s="4">
        <v>45908</v>
      </c>
      <c r="D14" s="5">
        <v>0.66666666666666663</v>
      </c>
      <c r="E14" s="5">
        <v>0.72916666666666663</v>
      </c>
      <c r="F14" s="2" t="s">
        <v>9</v>
      </c>
      <c r="G14" s="2" t="s">
        <v>10</v>
      </c>
      <c r="H14" s="2" t="s">
        <v>595</v>
      </c>
      <c r="I14" s="2" t="s">
        <v>596</v>
      </c>
      <c r="J14" s="2">
        <v>104855</v>
      </c>
      <c r="K14" s="2" t="s">
        <v>597</v>
      </c>
      <c r="L14" s="2" t="s">
        <v>18</v>
      </c>
      <c r="M14" t="str">
        <f>I14 &amp; " " &amp; K14</f>
        <v>Yui Amano</v>
      </c>
      <c r="Q14" t="str">
        <f t="shared" si="0"/>
        <v>104855yamano</v>
      </c>
    </row>
    <row r="15" spans="1:17" hidden="1" x14ac:dyDescent="0.4">
      <c r="A15">
        <v>18</v>
      </c>
      <c r="B15" s="2"/>
      <c r="C15" s="4">
        <v>45908</v>
      </c>
      <c r="D15" s="5">
        <v>0.58333333333333337</v>
      </c>
      <c r="E15" s="5">
        <v>0.64583333333333337</v>
      </c>
      <c r="F15" s="2" t="s">
        <v>9</v>
      </c>
      <c r="G15" s="2" t="s">
        <v>10</v>
      </c>
      <c r="H15" s="2" t="s">
        <v>595</v>
      </c>
      <c r="I15" s="2" t="s">
        <v>596</v>
      </c>
      <c r="J15" s="2">
        <v>104551</v>
      </c>
      <c r="K15" s="2" t="s">
        <v>597</v>
      </c>
      <c r="L15" s="2" t="s">
        <v>18</v>
      </c>
      <c r="M15" t="str">
        <f t="shared" ref="M15:M20" si="2">I15 &amp; " " &amp; K15</f>
        <v>Yui Amano</v>
      </c>
      <c r="Q15" t="str">
        <f t="shared" si="0"/>
        <v>104551yamano</v>
      </c>
    </row>
    <row r="16" spans="1:17" hidden="1" x14ac:dyDescent="0.4">
      <c r="A16">
        <v>19</v>
      </c>
      <c r="B16" s="2"/>
      <c r="C16" s="4">
        <v>45908</v>
      </c>
      <c r="D16" s="5">
        <v>0.47916666666666669</v>
      </c>
      <c r="E16" s="5">
        <v>0.54166666666666663</v>
      </c>
      <c r="F16" s="2" t="s">
        <v>9</v>
      </c>
      <c r="G16" s="2" t="s">
        <v>10</v>
      </c>
      <c r="H16" s="2" t="s">
        <v>595</v>
      </c>
      <c r="I16" s="2" t="s">
        <v>596</v>
      </c>
      <c r="J16" s="2">
        <v>104550</v>
      </c>
      <c r="K16" s="2" t="s">
        <v>597</v>
      </c>
      <c r="L16" s="2" t="s">
        <v>18</v>
      </c>
      <c r="M16" t="str">
        <f t="shared" si="2"/>
        <v>Yui Amano</v>
      </c>
      <c r="Q16" t="str">
        <f t="shared" si="0"/>
        <v>104550yamano</v>
      </c>
    </row>
    <row r="17" spans="1:17" hidden="1" x14ac:dyDescent="0.4">
      <c r="A17">
        <v>20</v>
      </c>
      <c r="B17" s="2"/>
      <c r="C17" s="4">
        <v>45908</v>
      </c>
      <c r="D17" s="5">
        <v>0.375</v>
      </c>
      <c r="E17" s="5">
        <v>0.4375</v>
      </c>
      <c r="F17" s="2" t="s">
        <v>9</v>
      </c>
      <c r="G17" s="2" t="s">
        <v>10</v>
      </c>
      <c r="H17" s="2" t="s">
        <v>595</v>
      </c>
      <c r="I17" s="2" t="s">
        <v>596</v>
      </c>
      <c r="J17" s="2">
        <v>102916</v>
      </c>
      <c r="K17" s="2" t="s">
        <v>597</v>
      </c>
      <c r="L17" s="2" t="s">
        <v>18</v>
      </c>
      <c r="M17" t="str">
        <f t="shared" si="2"/>
        <v>Yui Amano</v>
      </c>
      <c r="Q17" t="str">
        <f t="shared" si="0"/>
        <v>102916yamano</v>
      </c>
    </row>
    <row r="18" spans="1:17" hidden="1" x14ac:dyDescent="0.4">
      <c r="A18">
        <v>21</v>
      </c>
      <c r="B18" s="2"/>
      <c r="C18" s="4">
        <v>45909</v>
      </c>
      <c r="D18" s="5">
        <v>0.39583333333333331</v>
      </c>
      <c r="E18" s="5">
        <v>0.47916666666666669</v>
      </c>
      <c r="F18" s="2" t="s">
        <v>9</v>
      </c>
      <c r="G18" s="2" t="s">
        <v>10</v>
      </c>
      <c r="H18" s="2" t="s">
        <v>354</v>
      </c>
      <c r="I18" s="2" t="s">
        <v>355</v>
      </c>
      <c r="J18" s="2">
        <v>104959</v>
      </c>
      <c r="K18" s="2" t="s">
        <v>356</v>
      </c>
      <c r="L18" s="2" t="s">
        <v>18</v>
      </c>
      <c r="M18" t="str">
        <f t="shared" si="2"/>
        <v>Mélissa Angot</v>
      </c>
      <c r="Q18" t="str">
        <f t="shared" si="0"/>
        <v>104959mangot</v>
      </c>
    </row>
    <row r="19" spans="1:17" hidden="1" x14ac:dyDescent="0.4">
      <c r="A19">
        <v>22</v>
      </c>
      <c r="B19" s="2"/>
      <c r="C19" s="4">
        <v>45909</v>
      </c>
      <c r="D19" s="5">
        <v>0.39583333333333331</v>
      </c>
      <c r="E19" s="5">
        <v>0.47916666666666669</v>
      </c>
      <c r="F19" s="2" t="s">
        <v>9</v>
      </c>
      <c r="G19" s="2" t="s">
        <v>10</v>
      </c>
      <c r="H19" s="2" t="s">
        <v>508</v>
      </c>
      <c r="I19" s="2" t="s">
        <v>509</v>
      </c>
      <c r="J19" s="2">
        <v>104959</v>
      </c>
      <c r="K19" s="2" t="s">
        <v>510</v>
      </c>
      <c r="L19" s="2" t="s">
        <v>18</v>
      </c>
      <c r="M19" t="str">
        <f t="shared" si="2"/>
        <v>Solal Archimbaud--Adad</v>
      </c>
      <c r="Q19" t="str">
        <f t="shared" si="0"/>
        <v>104959sarchimbaudadad</v>
      </c>
    </row>
    <row r="20" spans="1:17" hidden="1" x14ac:dyDescent="0.4">
      <c r="A20">
        <v>23</v>
      </c>
      <c r="B20" s="2"/>
      <c r="C20" s="4">
        <v>45908</v>
      </c>
      <c r="D20" s="5">
        <v>0.66666666666666663</v>
      </c>
      <c r="E20" s="5">
        <v>0.72916666666666663</v>
      </c>
      <c r="F20" s="2" t="s">
        <v>9</v>
      </c>
      <c r="G20" s="2" t="s">
        <v>10</v>
      </c>
      <c r="H20" s="2" t="s">
        <v>574</v>
      </c>
      <c r="I20" s="2" t="s">
        <v>575</v>
      </c>
      <c r="J20" s="2">
        <v>104855</v>
      </c>
      <c r="K20" s="2" t="s">
        <v>576</v>
      </c>
      <c r="L20" s="2" t="s">
        <v>18</v>
      </c>
      <c r="M20" t="str">
        <f t="shared" si="2"/>
        <v>Vincent Amir-Tahmasseb</v>
      </c>
      <c r="Q20" t="str">
        <f t="shared" si="0"/>
        <v>104855vamirtahmasseb</v>
      </c>
    </row>
    <row r="21" spans="1:17" hidden="1" x14ac:dyDescent="0.4">
      <c r="A21">
        <v>26</v>
      </c>
      <c r="B21" s="2"/>
      <c r="C21" s="4">
        <v>45908</v>
      </c>
      <c r="D21" s="5">
        <v>0.58333333333333337</v>
      </c>
      <c r="E21" s="5">
        <v>0.64583333333333337</v>
      </c>
      <c r="F21" s="2" t="s">
        <v>9</v>
      </c>
      <c r="G21" s="2" t="s">
        <v>10</v>
      </c>
      <c r="H21" s="2" t="s">
        <v>574</v>
      </c>
      <c r="I21" s="2" t="s">
        <v>575</v>
      </c>
      <c r="J21" s="2">
        <v>104551</v>
      </c>
      <c r="K21" s="2" t="s">
        <v>576</v>
      </c>
      <c r="L21" s="2" t="s">
        <v>18</v>
      </c>
      <c r="M21" t="str">
        <f>I21 &amp; " " &amp; K21</f>
        <v>Vincent Amir-Tahmasseb</v>
      </c>
      <c r="Q21" t="str">
        <f t="shared" si="0"/>
        <v>104551vamirtahmasseb</v>
      </c>
    </row>
    <row r="22" spans="1:17" hidden="1" x14ac:dyDescent="0.4">
      <c r="A22">
        <v>27</v>
      </c>
      <c r="B22" s="2"/>
      <c r="C22" s="4">
        <v>45908</v>
      </c>
      <c r="D22" s="5">
        <v>0.47916666666666669</v>
      </c>
      <c r="E22" s="5">
        <v>0.54166666666666663</v>
      </c>
      <c r="F22" s="2" t="s">
        <v>9</v>
      </c>
      <c r="G22" s="2" t="s">
        <v>10</v>
      </c>
      <c r="H22" s="2" t="s">
        <v>574</v>
      </c>
      <c r="I22" s="2" t="s">
        <v>575</v>
      </c>
      <c r="J22" s="2">
        <v>104550</v>
      </c>
      <c r="K22" s="2" t="s">
        <v>576</v>
      </c>
      <c r="L22" s="2" t="s">
        <v>18</v>
      </c>
      <c r="M22" t="str">
        <f>I22 &amp; " " &amp; K22</f>
        <v>Vincent Amir-Tahmasseb</v>
      </c>
      <c r="Q22" t="str">
        <f t="shared" si="0"/>
        <v>104550vamirtahmasseb</v>
      </c>
    </row>
    <row r="23" spans="1:17" hidden="1" x14ac:dyDescent="0.4">
      <c r="A23">
        <v>28</v>
      </c>
      <c r="B23" s="2"/>
      <c r="C23" s="4">
        <v>45908</v>
      </c>
      <c r="D23" s="5">
        <v>0.375</v>
      </c>
      <c r="E23" s="5">
        <v>0.4375</v>
      </c>
      <c r="F23" s="2" t="s">
        <v>9</v>
      </c>
      <c r="G23" s="2" t="s">
        <v>10</v>
      </c>
      <c r="H23" s="2" t="s">
        <v>574</v>
      </c>
      <c r="I23" s="2" t="s">
        <v>575</v>
      </c>
      <c r="J23" s="2">
        <v>102916</v>
      </c>
      <c r="K23" s="2" t="s">
        <v>576</v>
      </c>
      <c r="L23" s="2" t="s">
        <v>18</v>
      </c>
      <c r="M23" t="str">
        <f>I23 &amp; " " &amp; K23</f>
        <v>Vincent Amir-Tahmasseb</v>
      </c>
      <c r="Q23" t="str">
        <f t="shared" si="0"/>
        <v>102916vamirtahmasseb</v>
      </c>
    </row>
    <row r="24" spans="1:17" hidden="1" x14ac:dyDescent="0.4">
      <c r="A24">
        <v>29</v>
      </c>
      <c r="B24" s="2"/>
      <c r="C24" s="4">
        <v>45909</v>
      </c>
      <c r="D24" s="5">
        <v>0.39583333333333331</v>
      </c>
      <c r="E24" s="5">
        <v>0.47916666666666669</v>
      </c>
      <c r="F24" s="2" t="s">
        <v>9</v>
      </c>
      <c r="G24" s="2" t="s">
        <v>10</v>
      </c>
      <c r="H24" s="2" t="s">
        <v>357</v>
      </c>
      <c r="I24" s="2" t="s">
        <v>358</v>
      </c>
      <c r="J24" s="2">
        <v>104959</v>
      </c>
      <c r="K24" s="2" t="s">
        <v>359</v>
      </c>
      <c r="L24" s="2" t="s">
        <v>14</v>
      </c>
      <c r="M24" t="str">
        <f>K24 &amp; " " &amp; I24</f>
        <v>Athané-Best Madeleine</v>
      </c>
      <c r="Q24" t="str">
        <f t="shared" si="0"/>
        <v>104959mathanebest</v>
      </c>
    </row>
    <row r="25" spans="1:17" hidden="1" x14ac:dyDescent="0.4">
      <c r="A25">
        <v>30</v>
      </c>
      <c r="B25" s="2"/>
      <c r="C25" s="4">
        <v>45909</v>
      </c>
      <c r="D25" s="5">
        <v>0.39583333333333331</v>
      </c>
      <c r="E25" s="5">
        <v>0.47916666666666669</v>
      </c>
      <c r="F25" s="2" t="s">
        <v>9</v>
      </c>
      <c r="G25" s="2" t="s">
        <v>10</v>
      </c>
      <c r="H25" s="2" t="s">
        <v>557</v>
      </c>
      <c r="I25" s="2" t="s">
        <v>558</v>
      </c>
      <c r="J25" s="2">
        <v>104959</v>
      </c>
      <c r="K25" s="2" t="s">
        <v>559</v>
      </c>
      <c r="L25" s="2" t="s">
        <v>18</v>
      </c>
      <c r="M25" t="str">
        <f>I25 &amp; " " &amp; K25</f>
        <v>Timothée Aubry</v>
      </c>
      <c r="Q25" t="str">
        <f t="shared" si="0"/>
        <v>104959taubry1</v>
      </c>
    </row>
    <row r="26" spans="1:17" hidden="1" x14ac:dyDescent="0.4">
      <c r="A26">
        <v>31</v>
      </c>
      <c r="B26" s="2"/>
      <c r="C26" s="4">
        <v>45908</v>
      </c>
      <c r="D26" s="5">
        <v>0.66666666666666663</v>
      </c>
      <c r="E26" s="5">
        <v>0.72916666666666663</v>
      </c>
      <c r="F26" s="2" t="s">
        <v>9</v>
      </c>
      <c r="G26" s="2" t="s">
        <v>10</v>
      </c>
      <c r="H26" s="2" t="s">
        <v>450</v>
      </c>
      <c r="I26" s="2" t="s">
        <v>451</v>
      </c>
      <c r="J26" s="2">
        <v>104855</v>
      </c>
      <c r="K26" s="2" t="s">
        <v>452</v>
      </c>
      <c r="L26" s="2" t="s">
        <v>18</v>
      </c>
      <c r="M26" t="str">
        <f>I26 &amp; " " &amp; K26</f>
        <v>Noam, Sofiane, Milo Angloma</v>
      </c>
      <c r="Q26" t="str">
        <f t="shared" si="0"/>
        <v>104855nsmangloma</v>
      </c>
    </row>
    <row r="27" spans="1:17" hidden="1" x14ac:dyDescent="0.4">
      <c r="A27">
        <v>33</v>
      </c>
      <c r="B27" s="2"/>
      <c r="C27" s="4">
        <v>45908</v>
      </c>
      <c r="D27" s="5">
        <v>0.58333333333333337</v>
      </c>
      <c r="E27" s="5">
        <v>0.64583333333333337</v>
      </c>
      <c r="F27" s="2" t="s">
        <v>9</v>
      </c>
      <c r="G27" s="2" t="s">
        <v>10</v>
      </c>
      <c r="H27" s="2" t="s">
        <v>450</v>
      </c>
      <c r="I27" s="2" t="s">
        <v>451</v>
      </c>
      <c r="J27" s="2">
        <v>104551</v>
      </c>
      <c r="K27" s="2" t="s">
        <v>452</v>
      </c>
      <c r="L27" s="2" t="s">
        <v>18</v>
      </c>
      <c r="M27" t="str">
        <f t="shared" ref="M27:M32" si="3">I27 &amp; " " &amp; K27</f>
        <v>Noam, Sofiane, Milo Angloma</v>
      </c>
      <c r="Q27" t="str">
        <f t="shared" si="0"/>
        <v>104551nsmangloma</v>
      </c>
    </row>
    <row r="28" spans="1:17" hidden="1" x14ac:dyDescent="0.4">
      <c r="A28">
        <v>34</v>
      </c>
      <c r="B28" s="2"/>
      <c r="C28" s="4">
        <v>45908</v>
      </c>
      <c r="D28" s="5">
        <v>0.47916666666666669</v>
      </c>
      <c r="E28" s="5">
        <v>0.54166666666666663</v>
      </c>
      <c r="F28" s="2" t="s">
        <v>9</v>
      </c>
      <c r="G28" s="2" t="s">
        <v>10</v>
      </c>
      <c r="H28" s="2" t="s">
        <v>450</v>
      </c>
      <c r="I28" s="2" t="s">
        <v>451</v>
      </c>
      <c r="J28" s="2">
        <v>104550</v>
      </c>
      <c r="K28" s="2" t="s">
        <v>452</v>
      </c>
      <c r="L28" s="2" t="s">
        <v>18</v>
      </c>
      <c r="M28" t="str">
        <f t="shared" si="3"/>
        <v>Noam, Sofiane, Milo Angloma</v>
      </c>
      <c r="Q28" t="str">
        <f t="shared" si="0"/>
        <v>104550nsmangloma</v>
      </c>
    </row>
    <row r="29" spans="1:17" hidden="1" x14ac:dyDescent="0.4">
      <c r="A29">
        <v>35</v>
      </c>
      <c r="B29" s="2"/>
      <c r="C29" s="4">
        <v>45908</v>
      </c>
      <c r="D29" s="5">
        <v>0.375</v>
      </c>
      <c r="E29" s="5">
        <v>0.4375</v>
      </c>
      <c r="F29" s="2" t="s">
        <v>9</v>
      </c>
      <c r="G29" s="2" t="s">
        <v>10</v>
      </c>
      <c r="H29" s="2" t="s">
        <v>450</v>
      </c>
      <c r="I29" s="2" t="s">
        <v>451</v>
      </c>
      <c r="J29" s="2">
        <v>102916</v>
      </c>
      <c r="K29" s="2" t="s">
        <v>452</v>
      </c>
      <c r="L29" s="2" t="s">
        <v>18</v>
      </c>
      <c r="M29" t="str">
        <f t="shared" si="3"/>
        <v>Noam, Sofiane, Milo Angloma</v>
      </c>
      <c r="Q29" t="str">
        <f t="shared" si="0"/>
        <v>102916nsmangloma</v>
      </c>
    </row>
    <row r="30" spans="1:17" hidden="1" x14ac:dyDescent="0.4">
      <c r="A30">
        <v>36</v>
      </c>
      <c r="B30" s="2"/>
      <c r="C30" s="4">
        <v>45909</v>
      </c>
      <c r="D30" s="5">
        <v>0.39583333333333331</v>
      </c>
      <c r="E30" s="5">
        <v>0.47916666666666669</v>
      </c>
      <c r="F30" s="2" t="s">
        <v>9</v>
      </c>
      <c r="G30" s="2" t="s">
        <v>10</v>
      </c>
      <c r="H30" s="2" t="s">
        <v>209</v>
      </c>
      <c r="I30" s="2" t="s">
        <v>210</v>
      </c>
      <c r="J30" s="2">
        <v>104959</v>
      </c>
      <c r="K30" s="2" t="s">
        <v>211</v>
      </c>
      <c r="L30" s="2" t="s">
        <v>18</v>
      </c>
      <c r="M30" t="str">
        <f t="shared" si="3"/>
        <v>Garance Baltardive</v>
      </c>
      <c r="Q30" t="str">
        <f t="shared" si="0"/>
        <v>104959gbaltardive</v>
      </c>
    </row>
    <row r="31" spans="1:17" hidden="1" x14ac:dyDescent="0.4">
      <c r="A31">
        <v>37</v>
      </c>
      <c r="B31" s="2"/>
      <c r="C31" s="4">
        <v>45909</v>
      </c>
      <c r="D31" s="5">
        <v>0.39583333333333331</v>
      </c>
      <c r="E31" s="5">
        <v>0.47916666666666669</v>
      </c>
      <c r="F31" s="2" t="s">
        <v>9</v>
      </c>
      <c r="G31" s="2" t="s">
        <v>10</v>
      </c>
      <c r="H31" s="2" t="s">
        <v>258</v>
      </c>
      <c r="I31" s="2" t="s">
        <v>259</v>
      </c>
      <c r="J31" s="2">
        <v>104959</v>
      </c>
      <c r="K31" s="2" t="s">
        <v>260</v>
      </c>
      <c r="L31" s="2" t="s">
        <v>18</v>
      </c>
      <c r="M31" t="str">
        <f t="shared" si="3"/>
        <v>Juliette Barret--Fontealba</v>
      </c>
      <c r="Q31" t="str">
        <f t="shared" si="0"/>
        <v>104959jbarretfontealba</v>
      </c>
    </row>
    <row r="32" spans="1:17" hidden="1" x14ac:dyDescent="0.4">
      <c r="A32">
        <v>38</v>
      </c>
      <c r="B32" s="2"/>
      <c r="C32" s="4">
        <v>45908</v>
      </c>
      <c r="D32" s="5">
        <v>0.66666666666666663</v>
      </c>
      <c r="E32" s="5">
        <v>0.72916666666666663</v>
      </c>
      <c r="F32" s="2" t="s">
        <v>9</v>
      </c>
      <c r="G32" s="2" t="s">
        <v>10</v>
      </c>
      <c r="H32" s="2" t="s">
        <v>354</v>
      </c>
      <c r="I32" s="2" t="s">
        <v>355</v>
      </c>
      <c r="J32" s="2">
        <v>104855</v>
      </c>
      <c r="K32" s="2" t="s">
        <v>356</v>
      </c>
      <c r="L32" s="2" t="s">
        <v>18</v>
      </c>
      <c r="M32" t="str">
        <f t="shared" si="3"/>
        <v>Mélissa Angot</v>
      </c>
      <c r="Q32" t="str">
        <f t="shared" si="0"/>
        <v>104855mangot</v>
      </c>
    </row>
    <row r="33" spans="1:17" hidden="1" x14ac:dyDescent="0.4">
      <c r="A33">
        <v>40</v>
      </c>
      <c r="B33" s="2"/>
      <c r="C33" s="4">
        <v>45908</v>
      </c>
      <c r="D33" s="5">
        <v>0.58333333333333337</v>
      </c>
      <c r="E33" s="5">
        <v>0.64583333333333337</v>
      </c>
      <c r="F33" s="2" t="s">
        <v>9</v>
      </c>
      <c r="G33" s="2" t="s">
        <v>10</v>
      </c>
      <c r="H33" s="2" t="s">
        <v>354</v>
      </c>
      <c r="I33" s="2" t="s">
        <v>355</v>
      </c>
      <c r="J33" s="2">
        <v>104551</v>
      </c>
      <c r="K33" s="2" t="s">
        <v>356</v>
      </c>
      <c r="L33" s="2" t="s">
        <v>18</v>
      </c>
      <c r="M33" t="str">
        <f t="shared" ref="M33:M38" si="4">I33 &amp; " " &amp; K33</f>
        <v>Mélissa Angot</v>
      </c>
      <c r="Q33" t="str">
        <f t="shared" si="0"/>
        <v>104551mangot</v>
      </c>
    </row>
    <row r="34" spans="1:17" hidden="1" x14ac:dyDescent="0.4">
      <c r="A34">
        <v>41</v>
      </c>
      <c r="B34" s="2"/>
      <c r="C34" s="4">
        <v>45908</v>
      </c>
      <c r="D34" s="5">
        <v>0.47916666666666669</v>
      </c>
      <c r="E34" s="5">
        <v>0.54166666666666663</v>
      </c>
      <c r="F34" s="2" t="s">
        <v>9</v>
      </c>
      <c r="G34" s="2" t="s">
        <v>10</v>
      </c>
      <c r="H34" s="2" t="s">
        <v>354</v>
      </c>
      <c r="I34" s="2" t="s">
        <v>355</v>
      </c>
      <c r="J34" s="2">
        <v>104550</v>
      </c>
      <c r="K34" s="2" t="s">
        <v>356</v>
      </c>
      <c r="L34" s="2" t="s">
        <v>18</v>
      </c>
      <c r="M34" t="str">
        <f t="shared" si="4"/>
        <v>Mélissa Angot</v>
      </c>
      <c r="Q34" t="str">
        <f t="shared" si="0"/>
        <v>104550mangot</v>
      </c>
    </row>
    <row r="35" spans="1:17" hidden="1" x14ac:dyDescent="0.4">
      <c r="A35">
        <v>42</v>
      </c>
      <c r="B35" s="2"/>
      <c r="C35" s="4">
        <v>45908</v>
      </c>
      <c r="D35" s="5">
        <v>0.375</v>
      </c>
      <c r="E35" s="5">
        <v>0.4375</v>
      </c>
      <c r="F35" s="2" t="s">
        <v>9</v>
      </c>
      <c r="G35" s="2" t="s">
        <v>10</v>
      </c>
      <c r="H35" s="2" t="s">
        <v>354</v>
      </c>
      <c r="I35" s="2" t="s">
        <v>355</v>
      </c>
      <c r="J35" s="2">
        <v>102916</v>
      </c>
      <c r="K35" s="2" t="s">
        <v>356</v>
      </c>
      <c r="L35" s="2" t="s">
        <v>18</v>
      </c>
      <c r="M35" t="str">
        <f t="shared" si="4"/>
        <v>Mélissa Angot</v>
      </c>
      <c r="Q35" t="str">
        <f t="shared" si="0"/>
        <v>102916mangot</v>
      </c>
    </row>
    <row r="36" spans="1:17" hidden="1" x14ac:dyDescent="0.4">
      <c r="A36">
        <v>43</v>
      </c>
      <c r="B36" s="2"/>
      <c r="C36" s="4">
        <v>45909</v>
      </c>
      <c r="D36" s="5">
        <v>0.39583333333333331</v>
      </c>
      <c r="E36" s="5">
        <v>0.47916666666666669</v>
      </c>
      <c r="F36" s="2" t="s">
        <v>9</v>
      </c>
      <c r="G36" s="2" t="s">
        <v>10</v>
      </c>
      <c r="H36" s="2" t="s">
        <v>261</v>
      </c>
      <c r="I36" s="2" t="s">
        <v>262</v>
      </c>
      <c r="J36" s="2">
        <v>104959</v>
      </c>
      <c r="K36" s="2" t="s">
        <v>263</v>
      </c>
      <c r="L36" s="2" t="s">
        <v>18</v>
      </c>
      <c r="M36" t="str">
        <f t="shared" si="4"/>
        <v>Jean-Baptiste Batogé</v>
      </c>
      <c r="Q36" t="str">
        <f t="shared" si="0"/>
        <v>104959jbbatoge</v>
      </c>
    </row>
    <row r="37" spans="1:17" hidden="1" x14ac:dyDescent="0.4">
      <c r="A37">
        <v>44</v>
      </c>
      <c r="B37" s="2"/>
      <c r="C37" s="4">
        <v>45909</v>
      </c>
      <c r="D37" s="5">
        <v>0.39583333333333331</v>
      </c>
      <c r="E37" s="5">
        <v>0.47916666666666669</v>
      </c>
      <c r="F37" s="2" t="s">
        <v>9</v>
      </c>
      <c r="G37" s="2" t="s">
        <v>10</v>
      </c>
      <c r="H37" s="2" t="s">
        <v>309</v>
      </c>
      <c r="I37" s="2" t="s">
        <v>310</v>
      </c>
      <c r="J37" s="2">
        <v>104959</v>
      </c>
      <c r="K37" s="2" t="s">
        <v>311</v>
      </c>
      <c r="L37" s="2" t="s">
        <v>18</v>
      </c>
      <c r="M37" t="str">
        <f t="shared" si="4"/>
        <v>Lucas Belon</v>
      </c>
      <c r="Q37" t="str">
        <f t="shared" si="0"/>
        <v>104959lbelon</v>
      </c>
    </row>
    <row r="38" spans="1:17" hidden="1" x14ac:dyDescent="0.4">
      <c r="A38">
        <v>45</v>
      </c>
      <c r="B38" s="2"/>
      <c r="C38" s="4">
        <v>45908</v>
      </c>
      <c r="D38" s="5">
        <v>0.66666666666666663</v>
      </c>
      <c r="E38" s="5">
        <v>0.72916666666666663</v>
      </c>
      <c r="F38" s="2" t="s">
        <v>9</v>
      </c>
      <c r="G38" s="2" t="s">
        <v>10</v>
      </c>
      <c r="H38" s="2" t="s">
        <v>508</v>
      </c>
      <c r="I38" s="2" t="s">
        <v>509</v>
      </c>
      <c r="J38" s="2">
        <v>104855</v>
      </c>
      <c r="K38" s="2" t="s">
        <v>510</v>
      </c>
      <c r="L38" s="2" t="s">
        <v>18</v>
      </c>
      <c r="M38" t="str">
        <f t="shared" si="4"/>
        <v>Solal Archimbaud--Adad</v>
      </c>
      <c r="Q38" t="str">
        <f t="shared" si="0"/>
        <v>104855sarchimbaudadad</v>
      </c>
    </row>
    <row r="39" spans="1:17" hidden="1" x14ac:dyDescent="0.4">
      <c r="A39">
        <v>47</v>
      </c>
      <c r="B39" s="2"/>
      <c r="C39" s="4">
        <v>45908</v>
      </c>
      <c r="D39" s="5">
        <v>0.58333333333333337</v>
      </c>
      <c r="E39" s="5">
        <v>0.64583333333333337</v>
      </c>
      <c r="F39" s="2" t="s">
        <v>9</v>
      </c>
      <c r="G39" s="2" t="s">
        <v>10</v>
      </c>
      <c r="H39" s="2" t="s">
        <v>508</v>
      </c>
      <c r="I39" s="2" t="s">
        <v>509</v>
      </c>
      <c r="J39" s="2">
        <v>104551</v>
      </c>
      <c r="K39" s="2" t="s">
        <v>510</v>
      </c>
      <c r="L39" s="2" t="s">
        <v>18</v>
      </c>
      <c r="M39" t="str">
        <f>I39 &amp; " " &amp; K39</f>
        <v>Solal Archimbaud--Adad</v>
      </c>
      <c r="Q39" t="str">
        <f t="shared" si="0"/>
        <v>104551sarchimbaudadad</v>
      </c>
    </row>
    <row r="40" spans="1:17" hidden="1" x14ac:dyDescent="0.4">
      <c r="A40">
        <v>48</v>
      </c>
      <c r="B40" s="2"/>
      <c r="C40" s="4">
        <v>45908</v>
      </c>
      <c r="D40" s="5">
        <v>0.47916666666666669</v>
      </c>
      <c r="E40" s="5">
        <v>0.54166666666666663</v>
      </c>
      <c r="F40" s="2" t="s">
        <v>9</v>
      </c>
      <c r="G40" s="2" t="s">
        <v>10</v>
      </c>
      <c r="H40" s="2" t="s">
        <v>508</v>
      </c>
      <c r="I40" s="2" t="s">
        <v>509</v>
      </c>
      <c r="J40" s="2">
        <v>104550</v>
      </c>
      <c r="K40" s="2" t="s">
        <v>510</v>
      </c>
      <c r="L40" s="2" t="s">
        <v>18</v>
      </c>
      <c r="M40" t="str">
        <f>I40 &amp; " " &amp; K40</f>
        <v>Solal Archimbaud--Adad</v>
      </c>
      <c r="Q40" t="str">
        <f t="shared" si="0"/>
        <v>104550sarchimbaudadad</v>
      </c>
    </row>
    <row r="41" spans="1:17" hidden="1" x14ac:dyDescent="0.4">
      <c r="A41">
        <v>49</v>
      </c>
      <c r="B41" s="2"/>
      <c r="C41" s="4">
        <v>45908</v>
      </c>
      <c r="D41" s="5">
        <v>0.375</v>
      </c>
      <c r="E41" s="5">
        <v>0.4375</v>
      </c>
      <c r="F41" s="2" t="s">
        <v>9</v>
      </c>
      <c r="G41" s="2" t="s">
        <v>10</v>
      </c>
      <c r="H41" s="2" t="s">
        <v>508</v>
      </c>
      <c r="I41" s="2" t="s">
        <v>509</v>
      </c>
      <c r="J41" s="2">
        <v>102916</v>
      </c>
      <c r="K41" s="2" t="s">
        <v>510</v>
      </c>
      <c r="L41" s="2" t="s">
        <v>18</v>
      </c>
      <c r="M41" t="str">
        <f>I41 &amp; " " &amp; K41</f>
        <v>Solal Archimbaud--Adad</v>
      </c>
      <c r="Q41" t="str">
        <f t="shared" si="0"/>
        <v>102916sarchimbaudadad</v>
      </c>
    </row>
    <row r="42" spans="1:17" hidden="1" x14ac:dyDescent="0.4">
      <c r="A42">
        <v>50</v>
      </c>
      <c r="B42" s="2"/>
      <c r="C42" s="4">
        <v>45909</v>
      </c>
      <c r="D42" s="5">
        <v>0.39583333333333331</v>
      </c>
      <c r="E42" s="5">
        <v>0.47916666666666669</v>
      </c>
      <c r="F42" s="2" t="s">
        <v>9</v>
      </c>
      <c r="G42" s="2" t="s">
        <v>10</v>
      </c>
      <c r="H42" s="2" t="s">
        <v>11</v>
      </c>
      <c r="I42" s="2" t="s">
        <v>12</v>
      </c>
      <c r="J42" s="2">
        <v>104959</v>
      </c>
      <c r="K42" s="2" t="s">
        <v>13</v>
      </c>
      <c r="L42" s="2" t="s">
        <v>18</v>
      </c>
      <c r="M42" t="str">
        <f>I42 &amp; " " &amp; K42</f>
        <v>Antonin Berson</v>
      </c>
      <c r="Q42" t="str">
        <f t="shared" si="0"/>
        <v>104959aberson</v>
      </c>
    </row>
    <row r="43" spans="1:17" hidden="1" x14ac:dyDescent="0.4">
      <c r="A43">
        <v>51</v>
      </c>
      <c r="B43" s="2"/>
      <c r="C43" s="4">
        <v>45909</v>
      </c>
      <c r="D43" s="5">
        <v>0.39583333333333331</v>
      </c>
      <c r="E43" s="5">
        <v>0.47916666666666669</v>
      </c>
      <c r="F43" s="2" t="s">
        <v>9</v>
      </c>
      <c r="G43" s="2" t="s">
        <v>10</v>
      </c>
      <c r="H43" s="2" t="s">
        <v>360</v>
      </c>
      <c r="I43" s="2" t="s">
        <v>361</v>
      </c>
      <c r="J43" s="2">
        <v>104959</v>
      </c>
      <c r="K43" s="2" t="s">
        <v>362</v>
      </c>
      <c r="L43" s="2" t="s">
        <v>18</v>
      </c>
      <c r="M43" t="str">
        <f>I43 &amp; " " &amp; K43</f>
        <v>Manuela Bianchi</v>
      </c>
      <c r="Q43" t="str">
        <f t="shared" si="0"/>
        <v>104959mbianchi</v>
      </c>
    </row>
    <row r="44" spans="1:17" hidden="1" x14ac:dyDescent="0.4">
      <c r="A44">
        <v>52</v>
      </c>
      <c r="B44" s="2"/>
      <c r="C44" s="4">
        <v>45908</v>
      </c>
      <c r="D44" s="5">
        <v>0.66666666666666663</v>
      </c>
      <c r="E44" s="5">
        <v>0.72916666666666663</v>
      </c>
      <c r="F44" s="2" t="s">
        <v>9</v>
      </c>
      <c r="G44" s="2" t="s">
        <v>10</v>
      </c>
      <c r="H44" s="2" t="s">
        <v>357</v>
      </c>
      <c r="I44" s="2" t="s">
        <v>358</v>
      </c>
      <c r="J44" s="2">
        <v>104855</v>
      </c>
      <c r="K44" s="2" t="s">
        <v>359</v>
      </c>
      <c r="L44" s="2" t="s">
        <v>14</v>
      </c>
      <c r="M44" t="str">
        <f t="shared" ref="M44:M48" si="5">K44 &amp; " " &amp; I44</f>
        <v>Athané-Best Madeleine</v>
      </c>
      <c r="Q44" t="str">
        <f t="shared" si="0"/>
        <v>104855mathanebest</v>
      </c>
    </row>
    <row r="45" spans="1:17" hidden="1" x14ac:dyDescent="0.4">
      <c r="A45">
        <v>54</v>
      </c>
      <c r="B45" s="2"/>
      <c r="C45" s="4">
        <v>45908</v>
      </c>
      <c r="D45" s="5">
        <v>0.58333333333333337</v>
      </c>
      <c r="E45" s="5">
        <v>0.64583333333333337</v>
      </c>
      <c r="F45" s="2" t="s">
        <v>9</v>
      </c>
      <c r="G45" s="2" t="s">
        <v>10</v>
      </c>
      <c r="H45" s="2" t="s">
        <v>357</v>
      </c>
      <c r="I45" s="2" t="s">
        <v>358</v>
      </c>
      <c r="J45" s="2">
        <v>104551</v>
      </c>
      <c r="K45" s="2" t="s">
        <v>359</v>
      </c>
      <c r="L45" s="2" t="s">
        <v>14</v>
      </c>
      <c r="M45" t="str">
        <f t="shared" si="5"/>
        <v>Athané-Best Madeleine</v>
      </c>
      <c r="Q45" t="str">
        <f t="shared" si="0"/>
        <v>104551mathanebest</v>
      </c>
    </row>
    <row r="46" spans="1:17" hidden="1" x14ac:dyDescent="0.4">
      <c r="A46">
        <v>55</v>
      </c>
      <c r="B46" s="2"/>
      <c r="C46" s="4">
        <v>45908</v>
      </c>
      <c r="D46" s="5">
        <v>0.47916666666666669</v>
      </c>
      <c r="E46" s="5">
        <v>0.54166666666666663</v>
      </c>
      <c r="F46" s="2" t="s">
        <v>9</v>
      </c>
      <c r="G46" s="2" t="s">
        <v>10</v>
      </c>
      <c r="H46" s="2" t="s">
        <v>357</v>
      </c>
      <c r="I46" s="2" t="s">
        <v>358</v>
      </c>
      <c r="J46" s="2">
        <v>104550</v>
      </c>
      <c r="K46" s="2" t="s">
        <v>359</v>
      </c>
      <c r="L46" s="2" t="s">
        <v>14</v>
      </c>
      <c r="M46" t="str">
        <f t="shared" si="5"/>
        <v>Athané-Best Madeleine</v>
      </c>
      <c r="Q46" t="str">
        <f t="shared" si="0"/>
        <v>104550mathanebest</v>
      </c>
    </row>
    <row r="47" spans="1:17" hidden="1" x14ac:dyDescent="0.4">
      <c r="A47">
        <v>56</v>
      </c>
      <c r="B47" s="2"/>
      <c r="C47" s="4">
        <v>45908</v>
      </c>
      <c r="D47" s="5">
        <v>0.375</v>
      </c>
      <c r="E47" s="5">
        <v>0.4375</v>
      </c>
      <c r="F47" s="2" t="s">
        <v>9</v>
      </c>
      <c r="G47" s="2" t="s">
        <v>10</v>
      </c>
      <c r="H47" s="2" t="s">
        <v>357</v>
      </c>
      <c r="I47" s="2" t="s">
        <v>358</v>
      </c>
      <c r="J47" s="2">
        <v>102916</v>
      </c>
      <c r="K47" s="2" t="s">
        <v>359</v>
      </c>
      <c r="L47" s="2" t="s">
        <v>18</v>
      </c>
      <c r="M47" t="str">
        <f t="shared" si="5"/>
        <v>Athané-Best Madeleine</v>
      </c>
      <c r="Q47" t="str">
        <f t="shared" si="0"/>
        <v>102916mathanebest</v>
      </c>
    </row>
    <row r="48" spans="1:17" hidden="1" x14ac:dyDescent="0.4">
      <c r="A48">
        <v>57</v>
      </c>
      <c r="B48" s="2"/>
      <c r="C48" s="4">
        <v>45909</v>
      </c>
      <c r="D48" s="5">
        <v>0.39583333333333331</v>
      </c>
      <c r="E48" s="5">
        <v>0.47916666666666669</v>
      </c>
      <c r="F48" s="2" t="s">
        <v>9</v>
      </c>
      <c r="G48" s="2" t="s">
        <v>10</v>
      </c>
      <c r="H48" s="2" t="s">
        <v>15</v>
      </c>
      <c r="I48" s="2" t="s">
        <v>16</v>
      </c>
      <c r="J48" s="2">
        <v>104959</v>
      </c>
      <c r="K48" s="2" t="s">
        <v>17</v>
      </c>
      <c r="L48" s="2" t="s">
        <v>14</v>
      </c>
      <c r="M48" t="str">
        <f t="shared" si="5"/>
        <v>Bich Alphonse</v>
      </c>
      <c r="Q48" t="str">
        <f t="shared" si="0"/>
        <v>104959abich</v>
      </c>
    </row>
    <row r="49" spans="1:17" hidden="1" x14ac:dyDescent="0.4">
      <c r="A49">
        <v>58</v>
      </c>
      <c r="B49" s="2"/>
      <c r="C49" s="4">
        <v>45909</v>
      </c>
      <c r="D49" s="5">
        <v>0.39583333333333331</v>
      </c>
      <c r="E49" s="5">
        <v>0.47916666666666669</v>
      </c>
      <c r="F49" s="2" t="s">
        <v>9</v>
      </c>
      <c r="G49" s="2" t="s">
        <v>10</v>
      </c>
      <c r="H49" s="2" t="s">
        <v>312</v>
      </c>
      <c r="I49" s="2" t="s">
        <v>313</v>
      </c>
      <c r="J49" s="2">
        <v>104959</v>
      </c>
      <c r="K49" s="2" t="s">
        <v>314</v>
      </c>
      <c r="L49" s="2" t="s">
        <v>18</v>
      </c>
      <c r="M49" t="str">
        <f>I49 &amp; " " &amp; K49</f>
        <v>Louis Bischoff</v>
      </c>
      <c r="Q49" t="str">
        <f t="shared" si="0"/>
        <v>104959lbischoff1</v>
      </c>
    </row>
    <row r="50" spans="1:17" hidden="1" x14ac:dyDescent="0.4">
      <c r="A50">
        <v>59</v>
      </c>
      <c r="B50" s="2"/>
      <c r="C50" s="4">
        <v>45908</v>
      </c>
      <c r="D50" s="5">
        <v>0.66666666666666663</v>
      </c>
      <c r="E50" s="5">
        <v>0.72916666666666663</v>
      </c>
      <c r="F50" s="2" t="s">
        <v>9</v>
      </c>
      <c r="G50" s="2" t="s">
        <v>10</v>
      </c>
      <c r="H50" s="2" t="s">
        <v>557</v>
      </c>
      <c r="I50" s="2" t="s">
        <v>558</v>
      </c>
      <c r="J50" s="2">
        <v>104855</v>
      </c>
      <c r="K50" s="2" t="s">
        <v>559</v>
      </c>
      <c r="L50" s="2" t="s">
        <v>18</v>
      </c>
      <c r="M50" t="str">
        <f>I50 &amp; " " &amp; K50</f>
        <v>Timothée Aubry</v>
      </c>
      <c r="Q50" t="str">
        <f t="shared" si="0"/>
        <v>104855taubry1</v>
      </c>
    </row>
    <row r="51" spans="1:17" hidden="1" x14ac:dyDescent="0.4">
      <c r="A51">
        <v>61</v>
      </c>
      <c r="B51" s="2"/>
      <c r="C51" s="4">
        <v>45908</v>
      </c>
      <c r="D51" s="5">
        <v>0.58333333333333337</v>
      </c>
      <c r="E51" s="5">
        <v>0.64583333333333337</v>
      </c>
      <c r="F51" s="2" t="s">
        <v>9</v>
      </c>
      <c r="G51" s="2" t="s">
        <v>10</v>
      </c>
      <c r="H51" s="2" t="s">
        <v>557</v>
      </c>
      <c r="I51" s="2" t="s">
        <v>558</v>
      </c>
      <c r="J51" s="2">
        <v>104551</v>
      </c>
      <c r="K51" s="2" t="s">
        <v>559</v>
      </c>
      <c r="L51" s="2" t="s">
        <v>18</v>
      </c>
      <c r="M51" t="str">
        <f>I51 &amp; " " &amp; K51</f>
        <v>Timothée Aubry</v>
      </c>
      <c r="Q51" t="str">
        <f t="shared" si="0"/>
        <v>104551taubry1</v>
      </c>
    </row>
    <row r="52" spans="1:17" hidden="1" x14ac:dyDescent="0.4">
      <c r="A52">
        <v>62</v>
      </c>
      <c r="B52" s="2"/>
      <c r="C52" s="4">
        <v>45908</v>
      </c>
      <c r="D52" s="5">
        <v>0.47916666666666669</v>
      </c>
      <c r="E52" s="5">
        <v>0.54166666666666663</v>
      </c>
      <c r="F52" s="2" t="s">
        <v>9</v>
      </c>
      <c r="G52" s="2" t="s">
        <v>10</v>
      </c>
      <c r="H52" s="2" t="s">
        <v>557</v>
      </c>
      <c r="I52" s="2" t="s">
        <v>558</v>
      </c>
      <c r="J52" s="2">
        <v>104550</v>
      </c>
      <c r="K52" s="2" t="s">
        <v>559</v>
      </c>
      <c r="L52" s="2" t="s">
        <v>18</v>
      </c>
      <c r="M52" t="str">
        <f>I52 &amp; " " &amp; K52</f>
        <v>Timothée Aubry</v>
      </c>
      <c r="Q52" t="str">
        <f t="shared" si="0"/>
        <v>104550taubry1</v>
      </c>
    </row>
    <row r="53" spans="1:17" hidden="1" x14ac:dyDescent="0.4">
      <c r="A53">
        <v>63</v>
      </c>
      <c r="B53" s="2"/>
      <c r="C53" s="4">
        <v>45908</v>
      </c>
      <c r="D53" s="5">
        <v>0.375</v>
      </c>
      <c r="E53" s="5">
        <v>0.4375</v>
      </c>
      <c r="F53" s="2" t="s">
        <v>9</v>
      </c>
      <c r="G53" s="2" t="s">
        <v>10</v>
      </c>
      <c r="H53" s="2" t="s">
        <v>557</v>
      </c>
      <c r="I53" s="2" t="s">
        <v>558</v>
      </c>
      <c r="J53" s="2">
        <v>102916</v>
      </c>
      <c r="K53" s="2" t="s">
        <v>559</v>
      </c>
      <c r="L53" s="2" t="s">
        <v>18</v>
      </c>
      <c r="M53" t="str">
        <f>I53 &amp; " " &amp; K53</f>
        <v>Timothée Aubry</v>
      </c>
      <c r="Q53" t="str">
        <f t="shared" si="0"/>
        <v>102916taubry1</v>
      </c>
    </row>
    <row r="54" spans="1:17" hidden="1" x14ac:dyDescent="0.4">
      <c r="A54">
        <v>64</v>
      </c>
      <c r="B54" s="2"/>
      <c r="C54" s="4">
        <v>45909</v>
      </c>
      <c r="D54" s="5">
        <v>0.39583333333333331</v>
      </c>
      <c r="E54" s="5">
        <v>0.47916666666666669</v>
      </c>
      <c r="F54" s="2" t="s">
        <v>9</v>
      </c>
      <c r="G54" s="2" t="s">
        <v>10</v>
      </c>
      <c r="H54" s="2" t="s">
        <v>363</v>
      </c>
      <c r="I54" s="2" t="s">
        <v>203</v>
      </c>
      <c r="J54" s="2">
        <v>104959</v>
      </c>
      <c r="K54" s="2" t="s">
        <v>364</v>
      </c>
      <c r="L54" s="2" t="s">
        <v>18</v>
      </c>
      <c r="M54" t="str">
        <f t="shared" ref="M54:M59" si="6">K54 &amp; " " &amp; I54</f>
        <v>Blouet Martin</v>
      </c>
      <c r="Q54" t="str">
        <f t="shared" si="0"/>
        <v>104959mblouet</v>
      </c>
    </row>
    <row r="55" spans="1:17" hidden="1" x14ac:dyDescent="0.4">
      <c r="A55">
        <v>65</v>
      </c>
      <c r="B55" s="2"/>
      <c r="C55" s="4">
        <v>45909</v>
      </c>
      <c r="D55" s="5">
        <v>0.39583333333333331</v>
      </c>
      <c r="E55" s="5">
        <v>0.47916666666666669</v>
      </c>
      <c r="F55" s="2" t="s">
        <v>9</v>
      </c>
      <c r="G55" s="2" t="s">
        <v>10</v>
      </c>
      <c r="H55" s="2" t="s">
        <v>19</v>
      </c>
      <c r="I55" s="2" t="s">
        <v>20</v>
      </c>
      <c r="J55" s="2">
        <v>104959</v>
      </c>
      <c r="K55" s="2" t="s">
        <v>21</v>
      </c>
      <c r="L55" s="2" t="s">
        <v>14</v>
      </c>
      <c r="M55" t="str">
        <f t="shared" si="6"/>
        <v>Bomont Albert</v>
      </c>
      <c r="Q55" t="str">
        <f t="shared" si="0"/>
        <v>104959abomont</v>
      </c>
    </row>
    <row r="56" spans="1:17" hidden="1" x14ac:dyDescent="0.4">
      <c r="A56">
        <v>66</v>
      </c>
      <c r="B56" s="2"/>
      <c r="C56" s="4">
        <v>45908</v>
      </c>
      <c r="D56" s="5">
        <v>0.66666666666666663</v>
      </c>
      <c r="E56" s="5">
        <v>0.72916666666666663</v>
      </c>
      <c r="F56" s="2" t="s">
        <v>9</v>
      </c>
      <c r="G56" s="2" t="s">
        <v>10</v>
      </c>
      <c r="H56" s="2" t="s">
        <v>209</v>
      </c>
      <c r="I56" s="2" t="s">
        <v>210</v>
      </c>
      <c r="J56" s="2">
        <v>104855</v>
      </c>
      <c r="K56" s="2" t="s">
        <v>211</v>
      </c>
      <c r="L56" s="2" t="s">
        <v>18</v>
      </c>
      <c r="M56" t="str">
        <f t="shared" si="6"/>
        <v>Baltardive Garance</v>
      </c>
      <c r="Q56" t="str">
        <f t="shared" ref="Q56:Q110" si="7">J56&amp;H56</f>
        <v>104855gbaltardive</v>
      </c>
    </row>
    <row r="57" spans="1:17" hidden="1" x14ac:dyDescent="0.4">
      <c r="A57">
        <v>68</v>
      </c>
      <c r="B57" s="2"/>
      <c r="C57" s="4">
        <v>45908</v>
      </c>
      <c r="D57" s="5">
        <v>0.58333333333333337</v>
      </c>
      <c r="E57" s="5">
        <v>0.64583333333333337</v>
      </c>
      <c r="F57" s="2" t="s">
        <v>9</v>
      </c>
      <c r="G57" s="2" t="s">
        <v>10</v>
      </c>
      <c r="H57" s="2" t="s">
        <v>209</v>
      </c>
      <c r="I57" s="2" t="s">
        <v>210</v>
      </c>
      <c r="J57" s="2">
        <v>104551</v>
      </c>
      <c r="K57" s="2" t="s">
        <v>211</v>
      </c>
      <c r="L57" s="2" t="s">
        <v>18</v>
      </c>
      <c r="M57" t="str">
        <f t="shared" si="6"/>
        <v>Baltardive Garance</v>
      </c>
      <c r="Q57" t="str">
        <f t="shared" si="7"/>
        <v>104551gbaltardive</v>
      </c>
    </row>
    <row r="58" spans="1:17" hidden="1" x14ac:dyDescent="0.4">
      <c r="A58">
        <v>69</v>
      </c>
      <c r="B58" s="2"/>
      <c r="C58" s="4">
        <v>45908</v>
      </c>
      <c r="D58" s="5">
        <v>0.47916666666666669</v>
      </c>
      <c r="E58" s="5">
        <v>0.54166666666666663</v>
      </c>
      <c r="F58" s="2" t="s">
        <v>9</v>
      </c>
      <c r="G58" s="2" t="s">
        <v>10</v>
      </c>
      <c r="H58" s="2" t="s">
        <v>209</v>
      </c>
      <c r="I58" s="2" t="s">
        <v>210</v>
      </c>
      <c r="J58" s="2">
        <v>104550</v>
      </c>
      <c r="K58" s="2" t="s">
        <v>211</v>
      </c>
      <c r="L58" s="2" t="s">
        <v>18</v>
      </c>
      <c r="M58" t="str">
        <f t="shared" si="6"/>
        <v>Baltardive Garance</v>
      </c>
      <c r="Q58" t="str">
        <f t="shared" si="7"/>
        <v>104550gbaltardive</v>
      </c>
    </row>
    <row r="59" spans="1:17" hidden="1" x14ac:dyDescent="0.4">
      <c r="A59">
        <v>70</v>
      </c>
      <c r="B59" s="2"/>
      <c r="C59" s="4">
        <v>45908</v>
      </c>
      <c r="D59" s="5">
        <v>0.375</v>
      </c>
      <c r="E59" s="5">
        <v>0.4375</v>
      </c>
      <c r="F59" s="2" t="s">
        <v>9</v>
      </c>
      <c r="G59" s="2" t="s">
        <v>10</v>
      </c>
      <c r="H59" s="2" t="s">
        <v>209</v>
      </c>
      <c r="I59" s="2" t="s">
        <v>210</v>
      </c>
      <c r="J59" s="2">
        <v>102916</v>
      </c>
      <c r="K59" s="2" t="s">
        <v>211</v>
      </c>
      <c r="L59" s="2" t="s">
        <v>18</v>
      </c>
      <c r="M59" t="str">
        <f t="shared" si="6"/>
        <v>Baltardive Garance</v>
      </c>
      <c r="Q59" t="str">
        <f t="shared" si="7"/>
        <v>102916gbaltardive</v>
      </c>
    </row>
    <row r="60" spans="1:17" hidden="1" x14ac:dyDescent="0.4">
      <c r="A60">
        <v>71</v>
      </c>
      <c r="B60" s="2"/>
      <c r="C60" s="4">
        <v>45909</v>
      </c>
      <c r="D60" s="5">
        <v>0.39583333333333331</v>
      </c>
      <c r="E60" s="5">
        <v>0.47916666666666669</v>
      </c>
      <c r="F60" s="2" t="s">
        <v>9</v>
      </c>
      <c r="G60" s="2" t="s">
        <v>10</v>
      </c>
      <c r="H60" s="2" t="s">
        <v>125</v>
      </c>
      <c r="I60" s="2" t="s">
        <v>126</v>
      </c>
      <c r="J60" s="2">
        <v>104959</v>
      </c>
      <c r="K60" s="2" t="s">
        <v>127</v>
      </c>
      <c r="L60" s="2" t="s">
        <v>18</v>
      </c>
      <c r="M60" t="str">
        <f t="shared" ref="M60:M66" si="8">I60 &amp; " " &amp; K60</f>
        <v>Derek Bondet de la Bernardie</v>
      </c>
      <c r="Q60" t="str">
        <f t="shared" si="7"/>
        <v>104959dbondetdelabernardie</v>
      </c>
    </row>
    <row r="61" spans="1:17" hidden="1" x14ac:dyDescent="0.4">
      <c r="A61">
        <v>72</v>
      </c>
      <c r="B61" s="2"/>
      <c r="C61" s="4">
        <v>45909</v>
      </c>
      <c r="D61" s="5">
        <v>0.39583333333333331</v>
      </c>
      <c r="E61" s="5">
        <v>0.47916666666666669</v>
      </c>
      <c r="F61" s="2" t="s">
        <v>9</v>
      </c>
      <c r="G61" s="2" t="s">
        <v>10</v>
      </c>
      <c r="H61" s="2" t="s">
        <v>315</v>
      </c>
      <c r="I61" s="2" t="s">
        <v>310</v>
      </c>
      <c r="J61" s="2">
        <v>104959</v>
      </c>
      <c r="K61" s="2" t="s">
        <v>316</v>
      </c>
      <c r="L61" s="2" t="s">
        <v>18</v>
      </c>
      <c r="M61" t="str">
        <f t="shared" si="8"/>
        <v>Lucas Bressoux</v>
      </c>
      <c r="Q61" t="str">
        <f t="shared" si="7"/>
        <v>104959lbressoux</v>
      </c>
    </row>
    <row r="62" spans="1:17" hidden="1" x14ac:dyDescent="0.4">
      <c r="A62">
        <v>73</v>
      </c>
      <c r="B62" s="2"/>
      <c r="C62" s="4">
        <v>45908</v>
      </c>
      <c r="D62" s="5">
        <v>0.66666666666666663</v>
      </c>
      <c r="E62" s="5">
        <v>0.72916666666666663</v>
      </c>
      <c r="F62" s="2" t="s">
        <v>9</v>
      </c>
      <c r="G62" s="2" t="s">
        <v>10</v>
      </c>
      <c r="H62" s="2" t="s">
        <v>258</v>
      </c>
      <c r="I62" s="2" t="s">
        <v>259</v>
      </c>
      <c r="J62" s="2">
        <v>104855</v>
      </c>
      <c r="K62" s="2" t="s">
        <v>260</v>
      </c>
      <c r="L62" s="2" t="s">
        <v>18</v>
      </c>
      <c r="M62" t="str">
        <f t="shared" si="8"/>
        <v>Juliette Barret--Fontealba</v>
      </c>
      <c r="Q62" t="str">
        <f t="shared" si="7"/>
        <v>104855jbarretfontealba</v>
      </c>
    </row>
    <row r="63" spans="1:17" hidden="1" x14ac:dyDescent="0.4">
      <c r="A63">
        <v>75</v>
      </c>
      <c r="B63" s="2"/>
      <c r="C63" s="4">
        <v>45908</v>
      </c>
      <c r="D63" s="5">
        <v>0.58333333333333337</v>
      </c>
      <c r="E63" s="5">
        <v>0.64583333333333337</v>
      </c>
      <c r="F63" s="2" t="s">
        <v>9</v>
      </c>
      <c r="G63" s="2" t="s">
        <v>10</v>
      </c>
      <c r="H63" s="2" t="s">
        <v>258</v>
      </c>
      <c r="I63" s="2" t="s">
        <v>259</v>
      </c>
      <c r="J63" s="2">
        <v>104551</v>
      </c>
      <c r="K63" s="2" t="s">
        <v>260</v>
      </c>
      <c r="L63" s="2" t="s">
        <v>18</v>
      </c>
      <c r="M63" t="str">
        <f t="shared" si="8"/>
        <v>Juliette Barret--Fontealba</v>
      </c>
      <c r="Q63" t="str">
        <f t="shared" si="7"/>
        <v>104551jbarretfontealba</v>
      </c>
    </row>
    <row r="64" spans="1:17" hidden="1" x14ac:dyDescent="0.4">
      <c r="A64">
        <v>76</v>
      </c>
      <c r="B64" s="2"/>
      <c r="C64" s="4">
        <v>45908</v>
      </c>
      <c r="D64" s="5">
        <v>0.47916666666666669</v>
      </c>
      <c r="E64" s="5">
        <v>0.54166666666666663</v>
      </c>
      <c r="F64" s="2" t="s">
        <v>9</v>
      </c>
      <c r="G64" s="2" t="s">
        <v>10</v>
      </c>
      <c r="H64" s="2" t="s">
        <v>258</v>
      </c>
      <c r="I64" s="2" t="s">
        <v>259</v>
      </c>
      <c r="J64" s="2">
        <v>104550</v>
      </c>
      <c r="K64" s="2" t="s">
        <v>260</v>
      </c>
      <c r="L64" s="2" t="s">
        <v>18</v>
      </c>
      <c r="M64" t="str">
        <f t="shared" si="8"/>
        <v>Juliette Barret--Fontealba</v>
      </c>
      <c r="Q64" t="str">
        <f t="shared" si="7"/>
        <v>104550jbarretfontealba</v>
      </c>
    </row>
    <row r="65" spans="1:17" hidden="1" x14ac:dyDescent="0.4">
      <c r="A65">
        <v>77</v>
      </c>
      <c r="B65" s="2"/>
      <c r="C65" s="4">
        <v>45908</v>
      </c>
      <c r="D65" s="5">
        <v>0.375</v>
      </c>
      <c r="E65" s="5">
        <v>0.4375</v>
      </c>
      <c r="F65" s="2" t="s">
        <v>9</v>
      </c>
      <c r="G65" s="2" t="s">
        <v>10</v>
      </c>
      <c r="H65" s="2" t="s">
        <v>258</v>
      </c>
      <c r="I65" s="2" t="s">
        <v>259</v>
      </c>
      <c r="J65" s="2">
        <v>102916</v>
      </c>
      <c r="K65" s="2" t="s">
        <v>260</v>
      </c>
      <c r="L65" s="2" t="s">
        <v>18</v>
      </c>
      <c r="M65" t="str">
        <f t="shared" si="8"/>
        <v>Juliette Barret--Fontealba</v>
      </c>
      <c r="Q65" t="str">
        <f t="shared" si="7"/>
        <v>102916jbarretfontealba</v>
      </c>
    </row>
    <row r="66" spans="1:17" hidden="1" x14ac:dyDescent="0.4">
      <c r="A66">
        <v>78</v>
      </c>
      <c r="B66" s="2"/>
      <c r="C66" s="4">
        <v>45909</v>
      </c>
      <c r="D66" s="5">
        <v>0.39583333333333331</v>
      </c>
      <c r="E66" s="5">
        <v>0.47916666666666669</v>
      </c>
      <c r="F66" s="2" t="s">
        <v>9</v>
      </c>
      <c r="G66" s="2" t="s">
        <v>10</v>
      </c>
      <c r="H66" s="2" t="s">
        <v>96</v>
      </c>
      <c r="I66" s="2" t="s">
        <v>97</v>
      </c>
      <c r="J66" s="2">
        <v>104959</v>
      </c>
      <c r="K66" s="2" t="s">
        <v>98</v>
      </c>
      <c r="L66" s="2" t="s">
        <v>18</v>
      </c>
      <c r="M66" t="str">
        <f t="shared" si="8"/>
        <v>Clément Brunet</v>
      </c>
      <c r="Q66" t="str">
        <f t="shared" si="7"/>
        <v>104959cbrunet</v>
      </c>
    </row>
    <row r="67" spans="1:17" hidden="1" x14ac:dyDescent="0.4">
      <c r="A67">
        <v>79</v>
      </c>
      <c r="B67" s="2"/>
      <c r="C67" s="4">
        <v>45909</v>
      </c>
      <c r="D67" s="5">
        <v>0.39583333333333331</v>
      </c>
      <c r="E67" s="5">
        <v>0.47916666666666669</v>
      </c>
      <c r="F67" s="2" t="s">
        <v>9</v>
      </c>
      <c r="G67" s="2" t="s">
        <v>10</v>
      </c>
      <c r="H67" s="2" t="s">
        <v>128</v>
      </c>
      <c r="I67" s="2" t="s">
        <v>129</v>
      </c>
      <c r="J67" s="2">
        <v>104959</v>
      </c>
      <c r="K67" s="2" t="s">
        <v>130</v>
      </c>
      <c r="L67" s="2" t="s">
        <v>14</v>
      </c>
      <c r="M67" t="str">
        <f>K67 &amp; " " &amp; I67</f>
        <v>Canada Gutierrez Diego</v>
      </c>
      <c r="Q67" t="str">
        <f t="shared" si="7"/>
        <v>104959dcanadagutierrez</v>
      </c>
    </row>
    <row r="68" spans="1:17" hidden="1" x14ac:dyDescent="0.4">
      <c r="A68">
        <v>80</v>
      </c>
      <c r="B68" s="2"/>
      <c r="C68" s="4">
        <v>45908</v>
      </c>
      <c r="D68" s="5">
        <v>0.66666666666666663</v>
      </c>
      <c r="E68" s="5">
        <v>0.72916666666666663</v>
      </c>
      <c r="F68" s="2" t="s">
        <v>9</v>
      </c>
      <c r="G68" s="2" t="s">
        <v>10</v>
      </c>
      <c r="H68" s="2" t="s">
        <v>261</v>
      </c>
      <c r="I68" s="2" t="s">
        <v>262</v>
      </c>
      <c r="J68" s="2">
        <v>104855</v>
      </c>
      <c r="K68" s="2" t="s">
        <v>263</v>
      </c>
      <c r="L68" s="2" t="s">
        <v>18</v>
      </c>
      <c r="M68" t="str">
        <f>I68 &amp; " " &amp; K68</f>
        <v>Jean-Baptiste Batogé</v>
      </c>
      <c r="Q68" t="str">
        <f t="shared" si="7"/>
        <v>104855jbbatoge</v>
      </c>
    </row>
    <row r="69" spans="1:17" hidden="1" x14ac:dyDescent="0.4">
      <c r="A69">
        <v>82</v>
      </c>
      <c r="B69" s="2"/>
      <c r="C69" s="4">
        <v>45908</v>
      </c>
      <c r="D69" s="5">
        <v>0.58333333333333337</v>
      </c>
      <c r="E69" s="5">
        <v>0.64583333333333337</v>
      </c>
      <c r="F69" s="2" t="s">
        <v>9</v>
      </c>
      <c r="G69" s="2" t="s">
        <v>10</v>
      </c>
      <c r="H69" s="2" t="s">
        <v>261</v>
      </c>
      <c r="I69" s="2" t="s">
        <v>262</v>
      </c>
      <c r="J69" s="2">
        <v>104551</v>
      </c>
      <c r="K69" s="2" t="s">
        <v>263</v>
      </c>
      <c r="L69" s="2" t="s">
        <v>18</v>
      </c>
      <c r="M69" t="str">
        <f t="shared" ref="M69:M74" si="9">I69 &amp; " " &amp; K69</f>
        <v>Jean-Baptiste Batogé</v>
      </c>
      <c r="Q69" t="str">
        <f t="shared" si="7"/>
        <v>104551jbbatoge</v>
      </c>
    </row>
    <row r="70" spans="1:17" hidden="1" x14ac:dyDescent="0.4">
      <c r="A70">
        <v>83</v>
      </c>
      <c r="B70" s="2"/>
      <c r="C70" s="4">
        <v>45908</v>
      </c>
      <c r="D70" s="5">
        <v>0.47916666666666669</v>
      </c>
      <c r="E70" s="5">
        <v>0.54166666666666663</v>
      </c>
      <c r="F70" s="2" t="s">
        <v>9</v>
      </c>
      <c r="G70" s="2" t="s">
        <v>10</v>
      </c>
      <c r="H70" s="2" t="s">
        <v>261</v>
      </c>
      <c r="I70" s="2" t="s">
        <v>262</v>
      </c>
      <c r="J70" s="2">
        <v>104550</v>
      </c>
      <c r="K70" s="2" t="s">
        <v>263</v>
      </c>
      <c r="L70" s="2" t="s">
        <v>18</v>
      </c>
      <c r="M70" t="str">
        <f t="shared" si="9"/>
        <v>Jean-Baptiste Batogé</v>
      </c>
      <c r="Q70" t="str">
        <f t="shared" si="7"/>
        <v>104550jbbatoge</v>
      </c>
    </row>
    <row r="71" spans="1:17" hidden="1" x14ac:dyDescent="0.4">
      <c r="A71">
        <v>84</v>
      </c>
      <c r="B71" s="2"/>
      <c r="C71" s="4">
        <v>45908</v>
      </c>
      <c r="D71" s="5">
        <v>0.375</v>
      </c>
      <c r="E71" s="5">
        <v>0.4375</v>
      </c>
      <c r="F71" s="2" t="s">
        <v>9</v>
      </c>
      <c r="G71" s="2" t="s">
        <v>10</v>
      </c>
      <c r="H71" s="2" t="s">
        <v>261</v>
      </c>
      <c r="I71" s="2" t="s">
        <v>262</v>
      </c>
      <c r="J71" s="2">
        <v>102916</v>
      </c>
      <c r="K71" s="2" t="s">
        <v>263</v>
      </c>
      <c r="L71" s="2" t="s">
        <v>18</v>
      </c>
      <c r="M71" t="str">
        <f t="shared" si="9"/>
        <v>Jean-Baptiste Batogé</v>
      </c>
      <c r="Q71" t="str">
        <f t="shared" si="7"/>
        <v>102916jbbatoge</v>
      </c>
    </row>
    <row r="72" spans="1:17" hidden="1" x14ac:dyDescent="0.4">
      <c r="A72">
        <v>85</v>
      </c>
      <c r="B72" s="2"/>
      <c r="C72" s="4">
        <v>45909</v>
      </c>
      <c r="D72" s="5">
        <v>0.39583333333333331</v>
      </c>
      <c r="E72" s="5">
        <v>0.47916666666666669</v>
      </c>
      <c r="F72" s="2" t="s">
        <v>9</v>
      </c>
      <c r="G72" s="2" t="s">
        <v>10</v>
      </c>
      <c r="H72" s="2" t="s">
        <v>190</v>
      </c>
      <c r="I72" s="2" t="s">
        <v>191</v>
      </c>
      <c r="J72" s="2">
        <v>104959</v>
      </c>
      <c r="K72" s="2" t="s">
        <v>192</v>
      </c>
      <c r="L72" s="2" t="s">
        <v>18</v>
      </c>
      <c r="M72" t="str">
        <f t="shared" si="9"/>
        <v>Félix Cantau</v>
      </c>
      <c r="Q72" t="str">
        <f t="shared" si="7"/>
        <v>104959fcantau</v>
      </c>
    </row>
    <row r="73" spans="1:17" hidden="1" x14ac:dyDescent="0.4">
      <c r="A73">
        <v>86</v>
      </c>
      <c r="B73" s="2"/>
      <c r="C73" s="4">
        <v>45909</v>
      </c>
      <c r="D73" s="5">
        <v>0.39583333333333331</v>
      </c>
      <c r="E73" s="5">
        <v>0.47916666666666669</v>
      </c>
      <c r="F73" s="2" t="s">
        <v>9</v>
      </c>
      <c r="G73" s="2" t="s">
        <v>10</v>
      </c>
      <c r="H73" s="2" t="s">
        <v>22</v>
      </c>
      <c r="I73" s="2" t="s">
        <v>23</v>
      </c>
      <c r="J73" s="2">
        <v>104959</v>
      </c>
      <c r="K73" s="2" t="s">
        <v>24</v>
      </c>
      <c r="L73" s="2" t="s">
        <v>18</v>
      </c>
      <c r="M73" t="str">
        <f t="shared" si="9"/>
        <v>Anaïs Carde</v>
      </c>
      <c r="Q73" t="str">
        <f t="shared" si="7"/>
        <v>104959acarde</v>
      </c>
    </row>
    <row r="74" spans="1:17" hidden="1" x14ac:dyDescent="0.4">
      <c r="A74">
        <v>87</v>
      </c>
      <c r="B74" s="2"/>
      <c r="C74" s="4">
        <v>45908</v>
      </c>
      <c r="D74" s="5">
        <v>0.66666666666666663</v>
      </c>
      <c r="E74" s="5">
        <v>0.72916666666666663</v>
      </c>
      <c r="F74" s="2" t="s">
        <v>9</v>
      </c>
      <c r="G74" s="2" t="s">
        <v>10</v>
      </c>
      <c r="H74" s="2" t="s">
        <v>309</v>
      </c>
      <c r="I74" s="2" t="s">
        <v>310</v>
      </c>
      <c r="J74" s="2">
        <v>104855</v>
      </c>
      <c r="K74" s="2" t="s">
        <v>311</v>
      </c>
      <c r="L74" s="2" t="s">
        <v>18</v>
      </c>
      <c r="M74" t="str">
        <f t="shared" si="9"/>
        <v>Lucas Belon</v>
      </c>
      <c r="Q74" t="str">
        <f t="shared" si="7"/>
        <v>104855lbelon</v>
      </c>
    </row>
    <row r="75" spans="1:17" hidden="1" x14ac:dyDescent="0.4">
      <c r="A75">
        <v>89</v>
      </c>
      <c r="B75" s="2"/>
      <c r="C75" s="4">
        <v>45908</v>
      </c>
      <c r="D75" s="5">
        <v>0.58333333333333337</v>
      </c>
      <c r="E75" s="5">
        <v>0.64583333333333337</v>
      </c>
      <c r="F75" s="2" t="s">
        <v>9</v>
      </c>
      <c r="G75" s="2" t="s">
        <v>10</v>
      </c>
      <c r="H75" s="2" t="s">
        <v>309</v>
      </c>
      <c r="I75" s="2" t="s">
        <v>310</v>
      </c>
      <c r="J75" s="2">
        <v>104551</v>
      </c>
      <c r="K75" s="2" t="s">
        <v>311</v>
      </c>
      <c r="L75" s="2" t="s">
        <v>18</v>
      </c>
      <c r="M75" t="str">
        <f>I75 &amp; " " &amp; K75</f>
        <v>Lucas Belon</v>
      </c>
      <c r="Q75" t="str">
        <f t="shared" si="7"/>
        <v>104551lbelon</v>
      </c>
    </row>
    <row r="76" spans="1:17" hidden="1" x14ac:dyDescent="0.4">
      <c r="A76">
        <v>90</v>
      </c>
      <c r="B76" s="2"/>
      <c r="C76" s="4">
        <v>45908</v>
      </c>
      <c r="D76" s="5">
        <v>0.47916666666666669</v>
      </c>
      <c r="E76" s="5">
        <v>0.54166666666666663</v>
      </c>
      <c r="F76" s="2" t="s">
        <v>9</v>
      </c>
      <c r="G76" s="2" t="s">
        <v>10</v>
      </c>
      <c r="H76" s="2" t="s">
        <v>309</v>
      </c>
      <c r="I76" s="2" t="s">
        <v>310</v>
      </c>
      <c r="J76" s="2">
        <v>104550</v>
      </c>
      <c r="K76" s="2" t="s">
        <v>311</v>
      </c>
      <c r="L76" s="2" t="s">
        <v>18</v>
      </c>
      <c r="M76" t="str">
        <f>K76 &amp; " " &amp; I76</f>
        <v>Belon Lucas</v>
      </c>
      <c r="Q76" t="str">
        <f t="shared" si="7"/>
        <v>104550lbelon</v>
      </c>
    </row>
    <row r="77" spans="1:17" hidden="1" x14ac:dyDescent="0.4">
      <c r="A77">
        <v>91</v>
      </c>
      <c r="B77" s="2"/>
      <c r="C77" s="4">
        <v>45908</v>
      </c>
      <c r="D77" s="5">
        <v>0.375</v>
      </c>
      <c r="E77" s="5">
        <v>0.4375</v>
      </c>
      <c r="F77" s="2" t="s">
        <v>9</v>
      </c>
      <c r="G77" s="2" t="s">
        <v>10</v>
      </c>
      <c r="H77" s="2" t="s">
        <v>309</v>
      </c>
      <c r="I77" s="2" t="s">
        <v>310</v>
      </c>
      <c r="J77" s="2">
        <v>102916</v>
      </c>
      <c r="K77" s="2" t="s">
        <v>311</v>
      </c>
      <c r="L77" s="2" t="s">
        <v>18</v>
      </c>
      <c r="M77" t="str">
        <f>I77 &amp; " " &amp; K77</f>
        <v>Lucas Belon</v>
      </c>
      <c r="Q77" t="str">
        <f t="shared" si="7"/>
        <v>102916lbelon</v>
      </c>
    </row>
    <row r="78" spans="1:17" hidden="1" x14ac:dyDescent="0.4">
      <c r="A78">
        <v>92</v>
      </c>
      <c r="B78" s="2"/>
      <c r="C78" s="4">
        <v>45909</v>
      </c>
      <c r="D78" s="5">
        <v>0.39583333333333331</v>
      </c>
      <c r="E78" s="5">
        <v>0.47916666666666669</v>
      </c>
      <c r="F78" s="2" t="s">
        <v>9</v>
      </c>
      <c r="G78" s="2" t="s">
        <v>10</v>
      </c>
      <c r="H78" s="2" t="s">
        <v>145</v>
      </c>
      <c r="I78" s="2" t="s">
        <v>146</v>
      </c>
      <c r="J78" s="2">
        <v>104959</v>
      </c>
      <c r="K78" s="2" t="s">
        <v>147</v>
      </c>
      <c r="L78" s="2" t="s">
        <v>14</v>
      </c>
      <c r="M78" t="str">
        <f>K78 &amp; " " &amp; I78</f>
        <v>Caron Etienne</v>
      </c>
      <c r="Q78" t="str">
        <f t="shared" si="7"/>
        <v>104959ecaron</v>
      </c>
    </row>
    <row r="79" spans="1:17" hidden="1" x14ac:dyDescent="0.4">
      <c r="A79">
        <v>93</v>
      </c>
      <c r="B79" s="2"/>
      <c r="C79" s="4">
        <v>45909</v>
      </c>
      <c r="D79" s="5">
        <v>0.39583333333333331</v>
      </c>
      <c r="E79" s="5">
        <v>0.47916666666666669</v>
      </c>
      <c r="F79" s="2" t="s">
        <v>9</v>
      </c>
      <c r="G79" s="2" t="s">
        <v>10</v>
      </c>
      <c r="H79" s="2" t="s">
        <v>193</v>
      </c>
      <c r="I79" s="2" t="s">
        <v>194</v>
      </c>
      <c r="J79" s="2">
        <v>104959</v>
      </c>
      <c r="K79" s="2" t="s">
        <v>195</v>
      </c>
      <c r="L79" s="2" t="s">
        <v>18</v>
      </c>
      <c r="M79" t="str">
        <f>I79 &amp; " " &amp; K79</f>
        <v>Fanny Casati--Lewandowski</v>
      </c>
      <c r="Q79" t="str">
        <f t="shared" si="7"/>
        <v>104959fcasatilewandowski</v>
      </c>
    </row>
    <row r="80" spans="1:17" hidden="1" x14ac:dyDescent="0.4">
      <c r="A80">
        <v>94</v>
      </c>
      <c r="B80" s="2"/>
      <c r="C80" s="4">
        <v>45908</v>
      </c>
      <c r="D80" s="5">
        <v>0.66666666666666663</v>
      </c>
      <c r="E80" s="5">
        <v>0.72916666666666663</v>
      </c>
      <c r="F80" s="2" t="s">
        <v>9</v>
      </c>
      <c r="G80" s="2" t="s">
        <v>10</v>
      </c>
      <c r="H80" s="2" t="s">
        <v>11</v>
      </c>
      <c r="I80" s="2" t="s">
        <v>12</v>
      </c>
      <c r="J80" s="2">
        <v>104855</v>
      </c>
      <c r="K80" s="2" t="s">
        <v>13</v>
      </c>
      <c r="L80" s="2" t="s">
        <v>18</v>
      </c>
      <c r="M80" t="str">
        <f>I80 &amp; " " &amp; K80</f>
        <v>Antonin Berson</v>
      </c>
      <c r="Q80" t="str">
        <f t="shared" si="7"/>
        <v>104855aberson</v>
      </c>
    </row>
    <row r="81" spans="1:17" hidden="1" x14ac:dyDescent="0.4">
      <c r="A81">
        <v>96</v>
      </c>
      <c r="B81" s="2"/>
      <c r="C81" s="4">
        <v>45908</v>
      </c>
      <c r="D81" s="5">
        <v>0.58333333333333337</v>
      </c>
      <c r="E81" s="5">
        <v>0.64583333333333337</v>
      </c>
      <c r="F81" s="2" t="s">
        <v>9</v>
      </c>
      <c r="G81" s="2" t="s">
        <v>10</v>
      </c>
      <c r="H81" s="2" t="s">
        <v>11</v>
      </c>
      <c r="I81" s="2" t="s">
        <v>12</v>
      </c>
      <c r="J81" s="2">
        <v>104551</v>
      </c>
      <c r="K81" s="2" t="s">
        <v>13</v>
      </c>
      <c r="L81" s="2" t="s">
        <v>18</v>
      </c>
      <c r="M81" t="str">
        <f>I81 &amp; " " &amp; K81</f>
        <v>Antonin Berson</v>
      </c>
      <c r="Q81" t="str">
        <f t="shared" si="7"/>
        <v>104551aberson</v>
      </c>
    </row>
    <row r="82" spans="1:17" hidden="1" x14ac:dyDescent="0.4">
      <c r="A82">
        <v>97</v>
      </c>
      <c r="B82" s="2"/>
      <c r="C82" s="4">
        <v>45908</v>
      </c>
      <c r="D82" s="5">
        <v>0.47916666666666669</v>
      </c>
      <c r="E82" s="5">
        <v>0.54166666666666663</v>
      </c>
      <c r="F82" s="2" t="s">
        <v>9</v>
      </c>
      <c r="G82" s="2" t="s">
        <v>10</v>
      </c>
      <c r="H82" s="2" t="s">
        <v>11</v>
      </c>
      <c r="I82" s="2" t="s">
        <v>12</v>
      </c>
      <c r="J82" s="2">
        <v>104550</v>
      </c>
      <c r="K82" s="2" t="s">
        <v>13</v>
      </c>
      <c r="L82" s="2" t="s">
        <v>18</v>
      </c>
      <c r="M82" t="str">
        <f>I82 &amp; " " &amp; K82</f>
        <v>Antonin Berson</v>
      </c>
      <c r="Q82" t="str">
        <f t="shared" si="7"/>
        <v>104550aberson</v>
      </c>
    </row>
    <row r="83" spans="1:17" hidden="1" x14ac:dyDescent="0.4">
      <c r="A83">
        <v>98</v>
      </c>
      <c r="B83" s="2"/>
      <c r="C83" s="4">
        <v>45908</v>
      </c>
      <c r="D83" s="5">
        <v>0.375</v>
      </c>
      <c r="E83" s="5">
        <v>0.4375</v>
      </c>
      <c r="F83" s="2" t="s">
        <v>9</v>
      </c>
      <c r="G83" s="2" t="s">
        <v>10</v>
      </c>
      <c r="H83" s="2" t="s">
        <v>11</v>
      </c>
      <c r="I83" s="2" t="s">
        <v>12</v>
      </c>
      <c r="J83" s="2">
        <v>102916</v>
      </c>
      <c r="K83" s="2" t="s">
        <v>13</v>
      </c>
      <c r="L83" s="2" t="s">
        <v>18</v>
      </c>
      <c r="M83" t="str">
        <f>K83 &amp; " " &amp; I83</f>
        <v>Berson Antonin</v>
      </c>
      <c r="Q83" t="str">
        <f t="shared" si="7"/>
        <v>102916aberson</v>
      </c>
    </row>
    <row r="84" spans="1:17" hidden="1" x14ac:dyDescent="0.4">
      <c r="A84">
        <v>99</v>
      </c>
      <c r="B84" s="2"/>
      <c r="C84" s="4">
        <v>45909</v>
      </c>
      <c r="D84" s="5">
        <v>0.39583333333333331</v>
      </c>
      <c r="E84" s="5">
        <v>0.47916666666666669</v>
      </c>
      <c r="F84" s="2" t="s">
        <v>9</v>
      </c>
      <c r="G84" s="2" t="s">
        <v>10</v>
      </c>
      <c r="H84" s="2" t="s">
        <v>266</v>
      </c>
      <c r="I84" s="2" t="s">
        <v>267</v>
      </c>
      <c r="J84" s="2">
        <v>104959</v>
      </c>
      <c r="K84" s="2" t="s">
        <v>268</v>
      </c>
      <c r="L84" s="2" t="s">
        <v>18</v>
      </c>
      <c r="M84" t="str">
        <f t="shared" ref="M84:M89" si="10">I84 &amp; " " &amp; K84</f>
        <v>Jean Cé</v>
      </c>
      <c r="Q84" t="str">
        <f t="shared" si="7"/>
        <v>104959jce</v>
      </c>
    </row>
    <row r="85" spans="1:17" hidden="1" x14ac:dyDescent="0.4">
      <c r="A85">
        <v>100</v>
      </c>
      <c r="B85" s="2"/>
      <c r="C85" s="4">
        <v>45909</v>
      </c>
      <c r="D85" s="5">
        <v>0.39583333333333331</v>
      </c>
      <c r="E85" s="5">
        <v>0.47916666666666669</v>
      </c>
      <c r="F85" s="2" t="s">
        <v>9</v>
      </c>
      <c r="G85" s="2" t="s">
        <v>10</v>
      </c>
      <c r="H85" s="2" t="s">
        <v>269</v>
      </c>
      <c r="I85" s="2" t="s">
        <v>270</v>
      </c>
      <c r="J85" s="2">
        <v>104959</v>
      </c>
      <c r="K85" s="2" t="s">
        <v>271</v>
      </c>
      <c r="L85" s="2" t="s">
        <v>18</v>
      </c>
      <c r="M85" t="str">
        <f t="shared" si="10"/>
        <v>Jonas Charles</v>
      </c>
      <c r="Q85" t="str">
        <f t="shared" si="7"/>
        <v>104959jcharles2</v>
      </c>
    </row>
    <row r="86" spans="1:17" hidden="1" x14ac:dyDescent="0.4">
      <c r="A86">
        <v>101</v>
      </c>
      <c r="B86" s="2"/>
      <c r="C86" s="4">
        <v>45908</v>
      </c>
      <c r="D86" s="5">
        <v>0.66666666666666663</v>
      </c>
      <c r="E86" s="5">
        <v>0.72916666666666663</v>
      </c>
      <c r="F86" s="2" t="s">
        <v>9</v>
      </c>
      <c r="G86" s="2" t="s">
        <v>10</v>
      </c>
      <c r="H86" s="2" t="s">
        <v>360</v>
      </c>
      <c r="I86" s="2" t="s">
        <v>361</v>
      </c>
      <c r="J86" s="2">
        <v>104855</v>
      </c>
      <c r="K86" s="2" t="s">
        <v>362</v>
      </c>
      <c r="L86" s="2" t="s">
        <v>18</v>
      </c>
      <c r="M86" t="str">
        <f t="shared" si="10"/>
        <v>Manuela Bianchi</v>
      </c>
      <c r="Q86" t="str">
        <f t="shared" si="7"/>
        <v>104855mbianchi</v>
      </c>
    </row>
    <row r="87" spans="1:17" hidden="1" x14ac:dyDescent="0.4">
      <c r="A87">
        <v>103</v>
      </c>
      <c r="B87" s="2"/>
      <c r="C87" s="4">
        <v>45908</v>
      </c>
      <c r="D87" s="5">
        <v>0.58333333333333337</v>
      </c>
      <c r="E87" s="5">
        <v>0.64583333333333337</v>
      </c>
      <c r="F87" s="2" t="s">
        <v>9</v>
      </c>
      <c r="G87" s="2" t="s">
        <v>10</v>
      </c>
      <c r="H87" s="2" t="s">
        <v>360</v>
      </c>
      <c r="I87" s="2" t="s">
        <v>361</v>
      </c>
      <c r="J87" s="2">
        <v>104551</v>
      </c>
      <c r="K87" s="2" t="s">
        <v>362</v>
      </c>
      <c r="L87" s="2" t="s">
        <v>18</v>
      </c>
      <c r="M87" t="str">
        <f t="shared" si="10"/>
        <v>Manuela Bianchi</v>
      </c>
      <c r="Q87" t="str">
        <f t="shared" si="7"/>
        <v>104551mbianchi</v>
      </c>
    </row>
    <row r="88" spans="1:17" hidden="1" x14ac:dyDescent="0.4">
      <c r="A88">
        <v>104</v>
      </c>
      <c r="B88" s="2"/>
      <c r="C88" s="4">
        <v>45908</v>
      </c>
      <c r="D88" s="5">
        <v>0.47916666666666669</v>
      </c>
      <c r="E88" s="5">
        <v>0.54166666666666663</v>
      </c>
      <c r="F88" s="2" t="s">
        <v>9</v>
      </c>
      <c r="G88" s="2" t="s">
        <v>10</v>
      </c>
      <c r="H88" s="2" t="s">
        <v>360</v>
      </c>
      <c r="I88" s="2" t="s">
        <v>361</v>
      </c>
      <c r="J88" s="2">
        <v>104550</v>
      </c>
      <c r="K88" s="2" t="s">
        <v>362</v>
      </c>
      <c r="L88" s="2" t="s">
        <v>18</v>
      </c>
      <c r="M88" t="str">
        <f t="shared" si="10"/>
        <v>Manuela Bianchi</v>
      </c>
      <c r="Q88" t="str">
        <f t="shared" si="7"/>
        <v>104550mbianchi</v>
      </c>
    </row>
    <row r="89" spans="1:17" hidden="1" x14ac:dyDescent="0.4">
      <c r="A89">
        <v>105</v>
      </c>
      <c r="B89" s="2"/>
      <c r="C89" s="4">
        <v>45908</v>
      </c>
      <c r="D89" s="5">
        <v>0.375</v>
      </c>
      <c r="E89" s="5">
        <v>0.4375</v>
      </c>
      <c r="F89" s="2" t="s">
        <v>9</v>
      </c>
      <c r="G89" s="2" t="s">
        <v>10</v>
      </c>
      <c r="H89" s="2" t="s">
        <v>360</v>
      </c>
      <c r="I89" s="2" t="s">
        <v>361</v>
      </c>
      <c r="J89" s="2">
        <v>102916</v>
      </c>
      <c r="K89" s="2" t="s">
        <v>362</v>
      </c>
      <c r="L89" s="2" t="s">
        <v>18</v>
      </c>
      <c r="M89" t="str">
        <f t="shared" si="10"/>
        <v>Manuela Bianchi</v>
      </c>
      <c r="Q89" t="str">
        <f t="shared" si="7"/>
        <v>102916mbianchi</v>
      </c>
    </row>
    <row r="90" spans="1:17" hidden="1" x14ac:dyDescent="0.4">
      <c r="A90">
        <v>106</v>
      </c>
      <c r="B90" s="2"/>
      <c r="C90" s="4">
        <v>45909</v>
      </c>
      <c r="D90" s="5">
        <v>0.39583333333333331</v>
      </c>
      <c r="E90" s="5">
        <v>0.47916666666666669</v>
      </c>
      <c r="F90" s="2" t="s">
        <v>9</v>
      </c>
      <c r="G90" s="2" t="s">
        <v>10</v>
      </c>
      <c r="H90" s="2" t="s">
        <v>577</v>
      </c>
      <c r="I90" s="2" t="s">
        <v>578</v>
      </c>
      <c r="J90" s="2">
        <v>104959</v>
      </c>
      <c r="K90" s="2" t="s">
        <v>579</v>
      </c>
      <c r="L90" s="2" t="s">
        <v>18</v>
      </c>
      <c r="M90" t="str">
        <f>K90 &amp; " " &amp; I90</f>
        <v>Chauvet Victor</v>
      </c>
      <c r="Q90" t="str">
        <f t="shared" si="7"/>
        <v>104959vchauvet</v>
      </c>
    </row>
    <row r="91" spans="1:17" hidden="1" x14ac:dyDescent="0.4">
      <c r="A91">
        <v>107</v>
      </c>
      <c r="B91" s="2"/>
      <c r="C91" s="4">
        <v>45909</v>
      </c>
      <c r="D91" s="5">
        <v>0.39583333333333331</v>
      </c>
      <c r="E91" s="5">
        <v>0.47916666666666669</v>
      </c>
      <c r="F91" s="2" t="s">
        <v>9</v>
      </c>
      <c r="G91" s="2" t="s">
        <v>10</v>
      </c>
      <c r="H91" s="2" t="s">
        <v>317</v>
      </c>
      <c r="I91" s="2" t="s">
        <v>318</v>
      </c>
      <c r="J91" s="2">
        <v>104959</v>
      </c>
      <c r="K91" s="2" t="s">
        <v>319</v>
      </c>
      <c r="L91" s="2" t="s">
        <v>14</v>
      </c>
      <c r="M91" t="str">
        <f>K91 &amp; " " &amp; I91</f>
        <v>Chavanon Louise</v>
      </c>
      <c r="Q91" t="str">
        <f t="shared" si="7"/>
        <v>104959lchavanon</v>
      </c>
    </row>
    <row r="92" spans="1:17" hidden="1" x14ac:dyDescent="0.4">
      <c r="A92">
        <v>108</v>
      </c>
      <c r="B92" s="2"/>
      <c r="C92" s="4">
        <v>45908</v>
      </c>
      <c r="D92" s="5">
        <v>0.66666666666666663</v>
      </c>
      <c r="E92" s="5">
        <v>0.72916666666666663</v>
      </c>
      <c r="F92" s="2" t="s">
        <v>9</v>
      </c>
      <c r="G92" s="2" t="s">
        <v>10</v>
      </c>
      <c r="H92" s="2" t="s">
        <v>15</v>
      </c>
      <c r="I92" s="2" t="s">
        <v>16</v>
      </c>
      <c r="J92" s="2">
        <v>104855</v>
      </c>
      <c r="K92" s="2" t="s">
        <v>17</v>
      </c>
      <c r="L92" s="2" t="s">
        <v>18</v>
      </c>
      <c r="M92" t="str">
        <f>I92 &amp; " " &amp; K92</f>
        <v>Alphonse Bich</v>
      </c>
      <c r="Q92" t="str">
        <f t="shared" si="7"/>
        <v>104855abich</v>
      </c>
    </row>
    <row r="93" spans="1:17" hidden="1" x14ac:dyDescent="0.4">
      <c r="A93">
        <v>110</v>
      </c>
      <c r="B93" s="2"/>
      <c r="C93" s="4">
        <v>45908</v>
      </c>
      <c r="D93" s="5">
        <v>0.58333333333333337</v>
      </c>
      <c r="E93" s="5">
        <v>0.64583333333333337</v>
      </c>
      <c r="F93" s="2" t="s">
        <v>9</v>
      </c>
      <c r="G93" s="2" t="s">
        <v>10</v>
      </c>
      <c r="H93" s="2" t="s">
        <v>15</v>
      </c>
      <c r="I93" s="2" t="s">
        <v>16</v>
      </c>
      <c r="J93" s="2">
        <v>104551</v>
      </c>
      <c r="K93" s="2" t="s">
        <v>17</v>
      </c>
      <c r="L93" s="2" t="s">
        <v>18</v>
      </c>
      <c r="M93" t="str">
        <f t="shared" ref="M93:M98" si="11">I93 &amp; " " &amp; K93</f>
        <v>Alphonse Bich</v>
      </c>
      <c r="Q93" t="str">
        <f t="shared" si="7"/>
        <v>104551abich</v>
      </c>
    </row>
    <row r="94" spans="1:17" hidden="1" x14ac:dyDescent="0.4">
      <c r="A94">
        <v>111</v>
      </c>
      <c r="B94" s="2"/>
      <c r="C94" s="4">
        <v>45908</v>
      </c>
      <c r="D94" s="5">
        <v>0.47916666666666669</v>
      </c>
      <c r="E94" s="5">
        <v>0.54166666666666663</v>
      </c>
      <c r="F94" s="2" t="s">
        <v>9</v>
      </c>
      <c r="G94" s="2" t="s">
        <v>10</v>
      </c>
      <c r="H94" s="2" t="s">
        <v>15</v>
      </c>
      <c r="I94" s="2" t="s">
        <v>16</v>
      </c>
      <c r="J94" s="2">
        <v>104550</v>
      </c>
      <c r="K94" s="2" t="s">
        <v>17</v>
      </c>
      <c r="L94" s="2" t="s">
        <v>18</v>
      </c>
      <c r="M94" t="str">
        <f t="shared" si="11"/>
        <v>Alphonse Bich</v>
      </c>
      <c r="Q94" t="str">
        <f t="shared" si="7"/>
        <v>104550abich</v>
      </c>
    </row>
    <row r="95" spans="1:17" hidden="1" x14ac:dyDescent="0.4">
      <c r="A95">
        <v>112</v>
      </c>
      <c r="B95" s="2"/>
      <c r="C95" s="4">
        <v>45908</v>
      </c>
      <c r="D95" s="5">
        <v>0.375</v>
      </c>
      <c r="E95" s="5">
        <v>0.4375</v>
      </c>
      <c r="F95" s="2" t="s">
        <v>9</v>
      </c>
      <c r="G95" s="2" t="s">
        <v>10</v>
      </c>
      <c r="H95" s="2" t="s">
        <v>15</v>
      </c>
      <c r="I95" s="2" t="s">
        <v>16</v>
      </c>
      <c r="J95" s="2">
        <v>102916</v>
      </c>
      <c r="K95" s="2" t="s">
        <v>17</v>
      </c>
      <c r="L95" s="2" t="s">
        <v>18</v>
      </c>
      <c r="M95" t="str">
        <f t="shared" si="11"/>
        <v>Alphonse Bich</v>
      </c>
      <c r="Q95" t="str">
        <f t="shared" si="7"/>
        <v>102916abich</v>
      </c>
    </row>
    <row r="96" spans="1:17" hidden="1" x14ac:dyDescent="0.4">
      <c r="A96">
        <v>113</v>
      </c>
      <c r="B96" s="2"/>
      <c r="C96" s="4">
        <v>45909</v>
      </c>
      <c r="D96" s="5">
        <v>0.39583333333333331</v>
      </c>
      <c r="E96" s="5">
        <v>0.47916666666666669</v>
      </c>
      <c r="F96" s="2" t="s">
        <v>9</v>
      </c>
      <c r="G96" s="2" t="s">
        <v>10</v>
      </c>
      <c r="H96" s="2" t="s">
        <v>131</v>
      </c>
      <c r="I96" s="2" t="s">
        <v>132</v>
      </c>
      <c r="J96" s="2">
        <v>104959</v>
      </c>
      <c r="K96" s="2" t="s">
        <v>133</v>
      </c>
      <c r="L96" s="2" t="s">
        <v>18</v>
      </c>
      <c r="M96" t="str">
        <f t="shared" si="11"/>
        <v>Dylan Choisi</v>
      </c>
      <c r="Q96" t="str">
        <f t="shared" si="7"/>
        <v>104959dchoisi</v>
      </c>
    </row>
    <row r="97" spans="1:17" hidden="1" x14ac:dyDescent="0.4">
      <c r="A97">
        <v>114</v>
      </c>
      <c r="B97" s="2"/>
      <c r="C97" s="4">
        <v>45909</v>
      </c>
      <c r="D97" s="5">
        <v>0.39583333333333331</v>
      </c>
      <c r="E97" s="5">
        <v>0.47916666666666669</v>
      </c>
      <c r="F97" s="2" t="s">
        <v>9</v>
      </c>
      <c r="G97" s="2" t="s">
        <v>10</v>
      </c>
      <c r="H97" s="2" t="s">
        <v>25</v>
      </c>
      <c r="I97" s="2" t="s">
        <v>12</v>
      </c>
      <c r="J97" s="2">
        <v>104959</v>
      </c>
      <c r="K97" s="2" t="s">
        <v>26</v>
      </c>
      <c r="L97" s="2" t="s">
        <v>18</v>
      </c>
      <c r="M97" t="str">
        <f t="shared" si="11"/>
        <v>Antonin Christophe</v>
      </c>
      <c r="Q97" t="str">
        <f t="shared" si="7"/>
        <v>104959achristophe1</v>
      </c>
    </row>
    <row r="98" spans="1:17" hidden="1" x14ac:dyDescent="0.4">
      <c r="A98">
        <v>115</v>
      </c>
      <c r="B98" s="2"/>
      <c r="C98" s="4">
        <v>45908</v>
      </c>
      <c r="D98" s="5">
        <v>0.66666666666666663</v>
      </c>
      <c r="E98" s="5">
        <v>0.72916666666666663</v>
      </c>
      <c r="F98" s="2" t="s">
        <v>9</v>
      </c>
      <c r="G98" s="2" t="s">
        <v>10</v>
      </c>
      <c r="H98" s="2" t="s">
        <v>312</v>
      </c>
      <c r="I98" s="2" t="s">
        <v>313</v>
      </c>
      <c r="J98" s="2">
        <v>104855</v>
      </c>
      <c r="K98" s="2" t="s">
        <v>314</v>
      </c>
      <c r="L98" s="2" t="s">
        <v>18</v>
      </c>
      <c r="M98" t="str">
        <f t="shared" si="11"/>
        <v>Louis Bischoff</v>
      </c>
      <c r="Q98" t="str">
        <f t="shared" si="7"/>
        <v>104855lbischoff1</v>
      </c>
    </row>
    <row r="99" spans="1:17" hidden="1" x14ac:dyDescent="0.4">
      <c r="A99">
        <v>117</v>
      </c>
      <c r="B99" s="2"/>
      <c r="C99" s="4">
        <v>45908</v>
      </c>
      <c r="D99" s="5">
        <v>0.58333333333333337</v>
      </c>
      <c r="E99" s="5">
        <v>0.64583333333333337</v>
      </c>
      <c r="F99" s="2" t="s">
        <v>9</v>
      </c>
      <c r="G99" s="2" t="s">
        <v>10</v>
      </c>
      <c r="H99" s="2" t="s">
        <v>312</v>
      </c>
      <c r="I99" s="2" t="s">
        <v>313</v>
      </c>
      <c r="J99" s="2">
        <v>104551</v>
      </c>
      <c r="K99" s="2" t="s">
        <v>314</v>
      </c>
      <c r="L99" s="2" t="s">
        <v>18</v>
      </c>
      <c r="M99" t="str">
        <f>I99 &amp; " " &amp; K99</f>
        <v>Louis Bischoff</v>
      </c>
      <c r="Q99" t="str">
        <f t="shared" si="7"/>
        <v>104551lbischoff1</v>
      </c>
    </row>
    <row r="100" spans="1:17" hidden="1" x14ac:dyDescent="0.4">
      <c r="A100">
        <v>118</v>
      </c>
      <c r="B100" s="2"/>
      <c r="C100" s="4">
        <v>45908</v>
      </c>
      <c r="D100" s="5">
        <v>0.47916666666666669</v>
      </c>
      <c r="E100" s="5">
        <v>0.54166666666666663</v>
      </c>
      <c r="F100" s="2" t="s">
        <v>9</v>
      </c>
      <c r="G100" s="2" t="s">
        <v>10</v>
      </c>
      <c r="H100" s="2" t="s">
        <v>312</v>
      </c>
      <c r="I100" s="2" t="s">
        <v>313</v>
      </c>
      <c r="J100" s="2">
        <v>104550</v>
      </c>
      <c r="K100" s="2" t="s">
        <v>314</v>
      </c>
      <c r="L100" s="2" t="s">
        <v>18</v>
      </c>
      <c r="M100" t="str">
        <f>I100 &amp; " " &amp; K100</f>
        <v>Louis Bischoff</v>
      </c>
      <c r="Q100" t="str">
        <f t="shared" si="7"/>
        <v>104550lbischoff1</v>
      </c>
    </row>
    <row r="101" spans="1:17" hidden="1" x14ac:dyDescent="0.4">
      <c r="A101">
        <v>119</v>
      </c>
      <c r="B101" s="2"/>
      <c r="C101" s="4">
        <v>45908</v>
      </c>
      <c r="D101" s="5">
        <v>0.375</v>
      </c>
      <c r="E101" s="5">
        <v>0.4375</v>
      </c>
      <c r="F101" s="2" t="s">
        <v>9</v>
      </c>
      <c r="G101" s="2" t="s">
        <v>10</v>
      </c>
      <c r="H101" s="2" t="s">
        <v>312</v>
      </c>
      <c r="I101" s="2" t="s">
        <v>313</v>
      </c>
      <c r="J101" s="2">
        <v>102916</v>
      </c>
      <c r="K101" s="2" t="s">
        <v>314</v>
      </c>
      <c r="L101" s="2" t="s">
        <v>18</v>
      </c>
      <c r="M101" t="str">
        <f>K101 &amp; " " &amp; I101</f>
        <v>Bischoff Louis</v>
      </c>
      <c r="Q101" t="str">
        <f t="shared" si="7"/>
        <v>102916lbischoff1</v>
      </c>
    </row>
    <row r="102" spans="1:17" hidden="1" x14ac:dyDescent="0.4">
      <c r="A102">
        <v>120</v>
      </c>
      <c r="B102" s="2"/>
      <c r="C102" s="4">
        <v>45909</v>
      </c>
      <c r="D102" s="5">
        <v>0.39583333333333331</v>
      </c>
      <c r="E102" s="5">
        <v>0.47916666666666669</v>
      </c>
      <c r="F102" s="2" t="s">
        <v>9</v>
      </c>
      <c r="G102" s="2" t="s">
        <v>10</v>
      </c>
      <c r="H102" s="2" t="s">
        <v>511</v>
      </c>
      <c r="I102" s="2" t="s">
        <v>512</v>
      </c>
      <c r="J102" s="2">
        <v>104959</v>
      </c>
      <c r="K102" s="2" t="s">
        <v>513</v>
      </c>
      <c r="L102" s="2" t="s">
        <v>18</v>
      </c>
      <c r="M102" t="str">
        <f>K102 &amp; " " &amp; I102</f>
        <v>Cohen Shaïna</v>
      </c>
      <c r="Q102" t="str">
        <f t="shared" si="7"/>
        <v>104959scohen</v>
      </c>
    </row>
    <row r="103" spans="1:17" hidden="1" x14ac:dyDescent="0.4">
      <c r="A103">
        <v>121</v>
      </c>
      <c r="B103" s="2"/>
      <c r="C103" s="4">
        <v>45909</v>
      </c>
      <c r="D103" s="5">
        <v>0.39583333333333331</v>
      </c>
      <c r="E103" s="5">
        <v>0.47916666666666669</v>
      </c>
      <c r="F103" s="2" t="s">
        <v>9</v>
      </c>
      <c r="G103" s="2" t="s">
        <v>10</v>
      </c>
      <c r="H103" s="2" t="s">
        <v>482</v>
      </c>
      <c r="I103" s="2" t="s">
        <v>483</v>
      </c>
      <c r="J103" s="2">
        <v>104959</v>
      </c>
      <c r="K103" s="2" t="s">
        <v>484</v>
      </c>
      <c r="L103" s="2" t="s">
        <v>18</v>
      </c>
      <c r="M103" t="str">
        <f>I103 &amp; " " &amp; K103</f>
        <v>Raphaël Cohen-Akenine</v>
      </c>
      <c r="Q103" t="str">
        <f t="shared" si="7"/>
        <v>104959rcohenakenine</v>
      </c>
    </row>
    <row r="104" spans="1:17" hidden="1" x14ac:dyDescent="0.4">
      <c r="A104">
        <v>122</v>
      </c>
      <c r="B104" s="2"/>
      <c r="C104" s="4">
        <v>45908</v>
      </c>
      <c r="D104" s="5">
        <v>0.66666666666666663</v>
      </c>
      <c r="E104" s="5">
        <v>0.72916666666666663</v>
      </c>
      <c r="F104" s="2" t="s">
        <v>9</v>
      </c>
      <c r="G104" s="2" t="s">
        <v>10</v>
      </c>
      <c r="H104" s="2" t="s">
        <v>363</v>
      </c>
      <c r="I104" s="2" t="s">
        <v>203</v>
      </c>
      <c r="J104" s="2">
        <v>104855</v>
      </c>
      <c r="K104" s="2" t="s">
        <v>364</v>
      </c>
      <c r="L104" s="2" t="s">
        <v>18</v>
      </c>
      <c r="M104" t="str">
        <f>K104 &amp; " " &amp; I104</f>
        <v>Blouet Martin</v>
      </c>
      <c r="Q104" t="str">
        <f t="shared" si="7"/>
        <v>104855mblouet</v>
      </c>
    </row>
    <row r="105" spans="1:17" hidden="1" x14ac:dyDescent="0.4">
      <c r="A105">
        <v>124</v>
      </c>
      <c r="B105" s="2"/>
      <c r="C105" s="4">
        <v>45908</v>
      </c>
      <c r="D105" s="5">
        <v>0.58333333333333337</v>
      </c>
      <c r="E105" s="5">
        <v>0.64583333333333337</v>
      </c>
      <c r="F105" s="2" t="s">
        <v>9</v>
      </c>
      <c r="G105" s="2" t="s">
        <v>10</v>
      </c>
      <c r="H105" s="2" t="s">
        <v>363</v>
      </c>
      <c r="I105" s="2" t="s">
        <v>203</v>
      </c>
      <c r="J105" s="2">
        <v>104551</v>
      </c>
      <c r="K105" s="2" t="s">
        <v>364</v>
      </c>
      <c r="L105" s="2" t="s">
        <v>18</v>
      </c>
      <c r="M105" t="str">
        <f>K105 &amp; " " &amp; I105</f>
        <v>Blouet Martin</v>
      </c>
      <c r="Q105" t="str">
        <f t="shared" si="7"/>
        <v>104551mblouet</v>
      </c>
    </row>
    <row r="106" spans="1:17" hidden="1" x14ac:dyDescent="0.4">
      <c r="A106">
        <v>125</v>
      </c>
      <c r="B106" s="2"/>
      <c r="C106" s="4">
        <v>45908</v>
      </c>
      <c r="D106" s="5">
        <v>0.47916666666666669</v>
      </c>
      <c r="E106" s="5">
        <v>0.54166666666666663</v>
      </c>
      <c r="F106" s="2" t="s">
        <v>9</v>
      </c>
      <c r="G106" s="2" t="s">
        <v>10</v>
      </c>
      <c r="H106" s="2" t="s">
        <v>363</v>
      </c>
      <c r="I106" s="2" t="s">
        <v>203</v>
      </c>
      <c r="J106" s="2">
        <v>104550</v>
      </c>
      <c r="K106" s="2" t="s">
        <v>364</v>
      </c>
      <c r="L106" s="2" t="s">
        <v>18</v>
      </c>
      <c r="M106" t="str">
        <f>K106 &amp; " " &amp; I106</f>
        <v>Blouet Martin</v>
      </c>
      <c r="Q106" t="str">
        <f t="shared" si="7"/>
        <v>104550mblouet</v>
      </c>
    </row>
    <row r="107" spans="1:17" hidden="1" x14ac:dyDescent="0.4">
      <c r="A107">
        <v>126</v>
      </c>
      <c r="B107" s="2"/>
      <c r="C107" s="4">
        <v>45908</v>
      </c>
      <c r="D107" s="5">
        <v>0.375</v>
      </c>
      <c r="E107" s="5">
        <v>0.4375</v>
      </c>
      <c r="F107" s="2" t="s">
        <v>9</v>
      </c>
      <c r="G107" s="2" t="s">
        <v>10</v>
      </c>
      <c r="H107" s="2" t="s">
        <v>363</v>
      </c>
      <c r="I107" s="2" t="s">
        <v>203</v>
      </c>
      <c r="J107" s="2">
        <v>102916</v>
      </c>
      <c r="K107" s="2" t="s">
        <v>364</v>
      </c>
      <c r="L107" s="2" t="s">
        <v>18</v>
      </c>
      <c r="M107" t="str">
        <f>K107 &amp; " " &amp; I107</f>
        <v>Blouet Martin</v>
      </c>
      <c r="Q107" t="str">
        <f t="shared" si="7"/>
        <v>102916mblouet</v>
      </c>
    </row>
    <row r="108" spans="1:17" hidden="1" x14ac:dyDescent="0.4">
      <c r="A108">
        <v>127</v>
      </c>
      <c r="B108" s="2"/>
      <c r="C108" s="4">
        <v>45909</v>
      </c>
      <c r="D108" s="5">
        <v>0.39583333333333331</v>
      </c>
      <c r="E108" s="5">
        <v>0.47916666666666669</v>
      </c>
      <c r="F108" s="2" t="s">
        <v>9</v>
      </c>
      <c r="G108" s="2" t="s">
        <v>10</v>
      </c>
      <c r="H108" s="2" t="s">
        <v>580</v>
      </c>
      <c r="I108" s="2" t="s">
        <v>581</v>
      </c>
      <c r="J108" s="2">
        <v>104959</v>
      </c>
      <c r="K108" s="2" t="s">
        <v>582</v>
      </c>
      <c r="L108" s="2" t="s">
        <v>18</v>
      </c>
      <c r="M108" t="str">
        <f>I108 &amp; " " &amp; K108</f>
        <v>Virgile Conesa</v>
      </c>
      <c r="Q108" t="str">
        <f t="shared" si="7"/>
        <v>104959vconesa</v>
      </c>
    </row>
    <row r="109" spans="1:17" hidden="1" x14ac:dyDescent="0.4">
      <c r="A109">
        <v>128</v>
      </c>
      <c r="B109" s="2"/>
      <c r="C109" s="4">
        <v>45909</v>
      </c>
      <c r="D109" s="5">
        <v>0.39583333333333331</v>
      </c>
      <c r="E109" s="5">
        <v>0.47916666666666669</v>
      </c>
      <c r="F109" s="2" t="s">
        <v>9</v>
      </c>
      <c r="G109" s="2" t="s">
        <v>10</v>
      </c>
      <c r="H109" s="2" t="s">
        <v>148</v>
      </c>
      <c r="I109" s="2" t="s">
        <v>149</v>
      </c>
      <c r="J109" s="2">
        <v>104959</v>
      </c>
      <c r="K109" s="2" t="s">
        <v>150</v>
      </c>
      <c r="L109" s="2" t="s">
        <v>14</v>
      </c>
      <c r="M109" t="str">
        <f t="shared" ref="M109:M114" si="12">K109 &amp; " " &amp; I109</f>
        <v>Constable Elisa</v>
      </c>
      <c r="Q109" t="str">
        <f t="shared" si="7"/>
        <v>104959econstable</v>
      </c>
    </row>
    <row r="110" spans="1:17" hidden="1" x14ac:dyDescent="0.4">
      <c r="A110">
        <v>129</v>
      </c>
      <c r="B110" s="2"/>
      <c r="C110" s="4">
        <v>45908</v>
      </c>
      <c r="D110" s="5">
        <v>0.66666666666666663</v>
      </c>
      <c r="E110" s="5">
        <v>0.72916666666666663</v>
      </c>
      <c r="F110" s="2" t="s">
        <v>9</v>
      </c>
      <c r="G110" s="2" t="s">
        <v>10</v>
      </c>
      <c r="H110" s="2" t="s">
        <v>19</v>
      </c>
      <c r="I110" s="2" t="s">
        <v>20</v>
      </c>
      <c r="J110" s="2">
        <v>104855</v>
      </c>
      <c r="K110" s="2" t="s">
        <v>21</v>
      </c>
      <c r="L110" s="2" t="s">
        <v>14</v>
      </c>
      <c r="M110" t="str">
        <f t="shared" si="12"/>
        <v>Bomont Albert</v>
      </c>
      <c r="Q110" t="str">
        <f t="shared" si="7"/>
        <v>104855abomont</v>
      </c>
    </row>
    <row r="111" spans="1:17" hidden="1" x14ac:dyDescent="0.4">
      <c r="A111">
        <v>131</v>
      </c>
      <c r="B111" s="2"/>
      <c r="C111" s="4">
        <v>45908</v>
      </c>
      <c r="D111" s="5">
        <v>0.58333333333333337</v>
      </c>
      <c r="E111" s="5">
        <v>0.64583333333333337</v>
      </c>
      <c r="F111" s="2" t="s">
        <v>9</v>
      </c>
      <c r="G111" s="2" t="s">
        <v>10</v>
      </c>
      <c r="H111" s="2" t="s">
        <v>19</v>
      </c>
      <c r="I111" s="2" t="s">
        <v>20</v>
      </c>
      <c r="J111" s="2">
        <v>104551</v>
      </c>
      <c r="K111" s="2" t="s">
        <v>21</v>
      </c>
      <c r="L111" s="2" t="s">
        <v>14</v>
      </c>
      <c r="M111" t="str">
        <f t="shared" si="12"/>
        <v>Bomont Albert</v>
      </c>
      <c r="Q111" t="str">
        <f t="shared" ref="Q111:Q163" si="13">J111&amp;H111</f>
        <v>104551abomont</v>
      </c>
    </row>
    <row r="112" spans="1:17" hidden="1" x14ac:dyDescent="0.4">
      <c r="A112">
        <v>132</v>
      </c>
      <c r="B112" s="2"/>
      <c r="C112" s="4">
        <v>45908</v>
      </c>
      <c r="D112" s="5">
        <v>0.47916666666666669</v>
      </c>
      <c r="E112" s="5">
        <v>0.54166666666666663</v>
      </c>
      <c r="F112" s="2" t="s">
        <v>9</v>
      </c>
      <c r="G112" s="2" t="s">
        <v>10</v>
      </c>
      <c r="H112" s="2" t="s">
        <v>19</v>
      </c>
      <c r="I112" s="2" t="s">
        <v>20</v>
      </c>
      <c r="J112" s="2">
        <v>104550</v>
      </c>
      <c r="K112" s="2" t="s">
        <v>21</v>
      </c>
      <c r="L112" s="2" t="s">
        <v>14</v>
      </c>
      <c r="M112" t="str">
        <f t="shared" si="12"/>
        <v>Bomont Albert</v>
      </c>
      <c r="Q112" t="str">
        <f t="shared" si="13"/>
        <v>104550abomont</v>
      </c>
    </row>
    <row r="113" spans="1:17" hidden="1" x14ac:dyDescent="0.4">
      <c r="A113">
        <v>133</v>
      </c>
      <c r="B113" s="2"/>
      <c r="C113" s="4">
        <v>45908</v>
      </c>
      <c r="D113" s="5">
        <v>0.375</v>
      </c>
      <c r="E113" s="5">
        <v>0.4375</v>
      </c>
      <c r="F113" s="2" t="s">
        <v>9</v>
      </c>
      <c r="G113" s="2" t="s">
        <v>10</v>
      </c>
      <c r="H113" s="2" t="s">
        <v>19</v>
      </c>
      <c r="I113" s="2" t="s">
        <v>20</v>
      </c>
      <c r="J113" s="2">
        <v>102916</v>
      </c>
      <c r="K113" s="2" t="s">
        <v>21</v>
      </c>
      <c r="L113" s="2" t="s">
        <v>14</v>
      </c>
      <c r="M113" t="str">
        <f t="shared" si="12"/>
        <v>Bomont Albert</v>
      </c>
      <c r="Q113" t="str">
        <f t="shared" si="13"/>
        <v>102916abomont</v>
      </c>
    </row>
    <row r="114" spans="1:17" hidden="1" x14ac:dyDescent="0.4">
      <c r="A114">
        <v>134</v>
      </c>
      <c r="B114" s="2"/>
      <c r="C114" s="4">
        <v>45909</v>
      </c>
      <c r="D114" s="5">
        <v>0.39583333333333331</v>
      </c>
      <c r="E114" s="5">
        <v>0.47916666666666669</v>
      </c>
      <c r="F114" s="2" t="s">
        <v>9</v>
      </c>
      <c r="G114" s="2" t="s">
        <v>10</v>
      </c>
      <c r="H114" s="2" t="s">
        <v>99</v>
      </c>
      <c r="I114" s="2" t="s">
        <v>100</v>
      </c>
      <c r="J114" s="2">
        <v>104959</v>
      </c>
      <c r="K114" s="2" t="s">
        <v>101</v>
      </c>
      <c r="L114" s="2" t="s">
        <v>18</v>
      </c>
      <c r="M114" t="str">
        <f t="shared" si="12"/>
        <v>Coppola Christiana</v>
      </c>
      <c r="Q114" t="str">
        <f t="shared" si="13"/>
        <v>104959ccoppola</v>
      </c>
    </row>
    <row r="115" spans="1:17" hidden="1" x14ac:dyDescent="0.4">
      <c r="A115">
        <v>135</v>
      </c>
      <c r="B115" s="2"/>
      <c r="C115" s="4">
        <v>45909</v>
      </c>
      <c r="D115" s="5">
        <v>0.39583333333333331</v>
      </c>
      <c r="E115" s="5">
        <v>0.47916666666666669</v>
      </c>
      <c r="F115" s="2" t="s">
        <v>9</v>
      </c>
      <c r="G115" s="2" t="s">
        <v>10</v>
      </c>
      <c r="H115" s="2" t="s">
        <v>196</v>
      </c>
      <c r="I115" s="2" t="s">
        <v>197</v>
      </c>
      <c r="J115" s="2">
        <v>104959</v>
      </c>
      <c r="K115" s="2" t="s">
        <v>198</v>
      </c>
      <c r="L115" s="2" t="s">
        <v>18</v>
      </c>
      <c r="M115" t="str">
        <f>I115 &amp; " " &amp; K115</f>
        <v>Filip Cusmir</v>
      </c>
      <c r="Q115" t="str">
        <f t="shared" si="13"/>
        <v>104959fcusmir</v>
      </c>
    </row>
    <row r="116" spans="1:17" hidden="1" x14ac:dyDescent="0.4">
      <c r="A116">
        <v>136</v>
      </c>
      <c r="B116" s="2"/>
      <c r="C116" s="4">
        <v>45908</v>
      </c>
      <c r="D116" s="5">
        <v>0.66666666666666663</v>
      </c>
      <c r="E116" s="5">
        <v>0.72916666666666663</v>
      </c>
      <c r="F116" s="2" t="s">
        <v>9</v>
      </c>
      <c r="G116" s="2" t="s">
        <v>10</v>
      </c>
      <c r="H116" s="2" t="s">
        <v>125</v>
      </c>
      <c r="I116" s="2" t="s">
        <v>126</v>
      </c>
      <c r="J116" s="2">
        <v>104855</v>
      </c>
      <c r="K116" s="2" t="s">
        <v>127</v>
      </c>
      <c r="L116" s="2" t="s">
        <v>18</v>
      </c>
      <c r="M116" t="str">
        <f>I116 &amp; " " &amp; K116</f>
        <v>Derek Bondet de la Bernardie</v>
      </c>
      <c r="Q116" t="str">
        <f t="shared" si="13"/>
        <v>104855dbondetdelabernardie</v>
      </c>
    </row>
    <row r="117" spans="1:17" hidden="1" x14ac:dyDescent="0.4">
      <c r="A117">
        <v>138</v>
      </c>
      <c r="B117" s="2"/>
      <c r="C117" s="4">
        <v>45908</v>
      </c>
      <c r="D117" s="5">
        <v>0.58333333333333337</v>
      </c>
      <c r="E117" s="5">
        <v>0.64583333333333337</v>
      </c>
      <c r="F117" s="2" t="s">
        <v>9</v>
      </c>
      <c r="G117" s="2" t="s">
        <v>10</v>
      </c>
      <c r="H117" s="2" t="s">
        <v>125</v>
      </c>
      <c r="I117" s="2" t="s">
        <v>126</v>
      </c>
      <c r="J117" s="2">
        <v>104551</v>
      </c>
      <c r="K117" s="2" t="s">
        <v>127</v>
      </c>
      <c r="L117" s="2" t="s">
        <v>18</v>
      </c>
      <c r="M117" t="str">
        <f t="shared" ref="M117:M122" si="14">I117 &amp; " " &amp; K117</f>
        <v>Derek Bondet de la Bernardie</v>
      </c>
      <c r="Q117" t="str">
        <f t="shared" si="13"/>
        <v>104551dbondetdelabernardie</v>
      </c>
    </row>
    <row r="118" spans="1:17" hidden="1" x14ac:dyDescent="0.4">
      <c r="A118">
        <v>139</v>
      </c>
      <c r="B118" s="2"/>
      <c r="C118" s="4">
        <v>45908</v>
      </c>
      <c r="D118" s="5">
        <v>0.47916666666666669</v>
      </c>
      <c r="E118" s="5">
        <v>0.54166666666666663</v>
      </c>
      <c r="F118" s="2" t="s">
        <v>9</v>
      </c>
      <c r="G118" s="2" t="s">
        <v>10</v>
      </c>
      <c r="H118" s="2" t="s">
        <v>125</v>
      </c>
      <c r="I118" s="2" t="s">
        <v>126</v>
      </c>
      <c r="J118" s="2">
        <v>104550</v>
      </c>
      <c r="K118" s="2" t="s">
        <v>127</v>
      </c>
      <c r="L118" s="2" t="s">
        <v>18</v>
      </c>
      <c r="M118" t="str">
        <f t="shared" si="14"/>
        <v>Derek Bondet de la Bernardie</v>
      </c>
      <c r="Q118" t="str">
        <f t="shared" si="13"/>
        <v>104550dbondetdelabernardie</v>
      </c>
    </row>
    <row r="119" spans="1:17" hidden="1" x14ac:dyDescent="0.4">
      <c r="A119">
        <v>140</v>
      </c>
      <c r="B119" s="2"/>
      <c r="C119" s="4">
        <v>45908</v>
      </c>
      <c r="D119" s="5">
        <v>0.375</v>
      </c>
      <c r="E119" s="5">
        <v>0.4375</v>
      </c>
      <c r="F119" s="2" t="s">
        <v>9</v>
      </c>
      <c r="G119" s="2" t="s">
        <v>10</v>
      </c>
      <c r="H119" s="2" t="s">
        <v>125</v>
      </c>
      <c r="I119" s="2" t="s">
        <v>126</v>
      </c>
      <c r="J119" s="2">
        <v>102916</v>
      </c>
      <c r="K119" s="2" t="s">
        <v>127</v>
      </c>
      <c r="L119" s="2" t="s">
        <v>18</v>
      </c>
      <c r="M119" t="str">
        <f t="shared" si="14"/>
        <v>Derek Bondet de la Bernardie</v>
      </c>
      <c r="Q119" t="str">
        <f t="shared" si="13"/>
        <v>102916dbondetdelabernardie</v>
      </c>
    </row>
    <row r="120" spans="1:17" hidden="1" x14ac:dyDescent="0.4">
      <c r="A120">
        <v>141</v>
      </c>
      <c r="B120" s="2"/>
      <c r="C120" s="4">
        <v>45909</v>
      </c>
      <c r="D120" s="5">
        <v>0.39583333333333331</v>
      </c>
      <c r="E120" s="5">
        <v>0.47916666666666669</v>
      </c>
      <c r="F120" s="2" t="s">
        <v>9</v>
      </c>
      <c r="G120" s="2" t="s">
        <v>10</v>
      </c>
      <c r="H120" s="2" t="s">
        <v>453</v>
      </c>
      <c r="I120" s="2" t="s">
        <v>454</v>
      </c>
      <c r="J120" s="2">
        <v>104959</v>
      </c>
      <c r="K120" s="2" t="s">
        <v>455</v>
      </c>
      <c r="L120" s="2" t="s">
        <v>18</v>
      </c>
      <c r="M120" t="str">
        <f t="shared" si="14"/>
        <v>Oihan de Sousa Pires</v>
      </c>
      <c r="Q120" t="str">
        <f t="shared" si="13"/>
        <v>104959odesousapires</v>
      </c>
    </row>
    <row r="121" spans="1:17" hidden="1" x14ac:dyDescent="0.4">
      <c r="A121">
        <v>142</v>
      </c>
      <c r="B121" s="2"/>
      <c r="C121" s="4">
        <v>45909</v>
      </c>
      <c r="D121" s="5">
        <v>0.39583333333333331</v>
      </c>
      <c r="E121" s="5">
        <v>0.47916666666666669</v>
      </c>
      <c r="F121" s="2" t="s">
        <v>9</v>
      </c>
      <c r="G121" s="2" t="s">
        <v>10</v>
      </c>
      <c r="H121" s="2" t="s">
        <v>27</v>
      </c>
      <c r="I121" s="2" t="s">
        <v>28</v>
      </c>
      <c r="J121" s="2">
        <v>104959</v>
      </c>
      <c r="K121" s="2" t="s">
        <v>29</v>
      </c>
      <c r="L121" s="2" t="s">
        <v>18</v>
      </c>
      <c r="M121" t="str">
        <f t="shared" si="14"/>
        <v>Aloïs Decaëns</v>
      </c>
      <c r="Q121" t="str">
        <f t="shared" si="13"/>
        <v>104959adecaens</v>
      </c>
    </row>
    <row r="122" spans="1:17" hidden="1" x14ac:dyDescent="0.4">
      <c r="A122">
        <v>143</v>
      </c>
      <c r="B122" s="2"/>
      <c r="C122" s="4">
        <v>45908</v>
      </c>
      <c r="D122" s="5">
        <v>0.66666666666666663</v>
      </c>
      <c r="E122" s="5">
        <v>0.72916666666666663</v>
      </c>
      <c r="F122" s="2" t="s">
        <v>9</v>
      </c>
      <c r="G122" s="2" t="s">
        <v>10</v>
      </c>
      <c r="H122" s="2" t="s">
        <v>315</v>
      </c>
      <c r="I122" s="2" t="s">
        <v>310</v>
      </c>
      <c r="J122" s="2">
        <v>104855</v>
      </c>
      <c r="K122" s="2" t="s">
        <v>316</v>
      </c>
      <c r="L122" s="2" t="s">
        <v>18</v>
      </c>
      <c r="M122" t="str">
        <f t="shared" si="14"/>
        <v>Lucas Bressoux</v>
      </c>
      <c r="Q122" t="str">
        <f t="shared" si="13"/>
        <v>104855lbressoux</v>
      </c>
    </row>
    <row r="123" spans="1:17" hidden="1" x14ac:dyDescent="0.4">
      <c r="A123">
        <v>145</v>
      </c>
      <c r="B123" s="2"/>
      <c r="C123" s="4">
        <v>45908</v>
      </c>
      <c r="D123" s="5">
        <v>0.58333333333333337</v>
      </c>
      <c r="E123" s="5">
        <v>0.64583333333333337</v>
      </c>
      <c r="F123" s="2" t="s">
        <v>9</v>
      </c>
      <c r="G123" s="2" t="s">
        <v>10</v>
      </c>
      <c r="H123" s="2" t="s">
        <v>315</v>
      </c>
      <c r="I123" s="2" t="s">
        <v>310</v>
      </c>
      <c r="J123" s="2">
        <v>104551</v>
      </c>
      <c r="K123" s="2" t="s">
        <v>316</v>
      </c>
      <c r="L123" s="2" t="s">
        <v>18</v>
      </c>
      <c r="M123" t="str">
        <f>I123 &amp; " " &amp; K123</f>
        <v>Lucas Bressoux</v>
      </c>
      <c r="Q123" t="str">
        <f t="shared" si="13"/>
        <v>104551lbressoux</v>
      </c>
    </row>
    <row r="124" spans="1:17" hidden="1" x14ac:dyDescent="0.4">
      <c r="A124">
        <v>146</v>
      </c>
      <c r="B124" s="2"/>
      <c r="C124" s="4">
        <v>45908</v>
      </c>
      <c r="D124" s="5">
        <v>0.47916666666666669</v>
      </c>
      <c r="E124" s="5">
        <v>0.54166666666666663</v>
      </c>
      <c r="F124" s="2" t="s">
        <v>9</v>
      </c>
      <c r="G124" s="2" t="s">
        <v>10</v>
      </c>
      <c r="H124" s="2" t="s">
        <v>315</v>
      </c>
      <c r="I124" s="2" t="s">
        <v>310</v>
      </c>
      <c r="J124" s="2">
        <v>104550</v>
      </c>
      <c r="K124" s="2" t="s">
        <v>316</v>
      </c>
      <c r="L124" s="2" t="s">
        <v>18</v>
      </c>
      <c r="M124" t="str">
        <f>I124 &amp; " " &amp; K124</f>
        <v>Lucas Bressoux</v>
      </c>
      <c r="Q124" t="str">
        <f t="shared" si="13"/>
        <v>104550lbressoux</v>
      </c>
    </row>
    <row r="125" spans="1:17" hidden="1" x14ac:dyDescent="0.4">
      <c r="A125">
        <v>147</v>
      </c>
      <c r="B125" s="2"/>
      <c r="C125" s="4">
        <v>45908</v>
      </c>
      <c r="D125" s="5">
        <v>0.375</v>
      </c>
      <c r="E125" s="5">
        <v>0.4375</v>
      </c>
      <c r="F125" s="2" t="s">
        <v>9</v>
      </c>
      <c r="G125" s="2" t="s">
        <v>10</v>
      </c>
      <c r="H125" s="2" t="s">
        <v>315</v>
      </c>
      <c r="I125" s="2" t="s">
        <v>310</v>
      </c>
      <c r="J125" s="2">
        <v>102916</v>
      </c>
      <c r="K125" s="2" t="s">
        <v>316</v>
      </c>
      <c r="L125" s="2" t="s">
        <v>18</v>
      </c>
      <c r="M125" t="str">
        <f>K125 &amp; " " &amp; I125</f>
        <v>Bressoux Lucas</v>
      </c>
      <c r="Q125" t="str">
        <f t="shared" si="13"/>
        <v>102916lbressoux</v>
      </c>
    </row>
    <row r="126" spans="1:17" hidden="1" x14ac:dyDescent="0.4">
      <c r="A126">
        <v>148</v>
      </c>
      <c r="B126" s="2"/>
      <c r="C126" s="4">
        <v>45909</v>
      </c>
      <c r="D126" s="5">
        <v>0.39583333333333331</v>
      </c>
      <c r="E126" s="5">
        <v>0.47916666666666669</v>
      </c>
      <c r="F126" s="2" t="s">
        <v>9</v>
      </c>
      <c r="G126" s="2" t="s">
        <v>10</v>
      </c>
      <c r="H126" s="2" t="s">
        <v>485</v>
      </c>
      <c r="I126" s="2" t="s">
        <v>486</v>
      </c>
      <c r="J126" s="2">
        <v>104959</v>
      </c>
      <c r="K126" s="2" t="s">
        <v>487</v>
      </c>
      <c r="L126" s="2" t="s">
        <v>14</v>
      </c>
      <c r="M126" t="str">
        <f>K126 &amp; " " &amp; I126</f>
        <v>Dehors Rose</v>
      </c>
      <c r="Q126" t="str">
        <f t="shared" si="13"/>
        <v>104959rdehors</v>
      </c>
    </row>
    <row r="127" spans="1:17" hidden="1" x14ac:dyDescent="0.4">
      <c r="A127">
        <v>149</v>
      </c>
      <c r="B127" s="2"/>
      <c r="C127" s="4">
        <v>45909</v>
      </c>
      <c r="D127" s="5">
        <v>0.39583333333333331</v>
      </c>
      <c r="E127" s="5">
        <v>0.47916666666666669</v>
      </c>
      <c r="F127" s="2" t="s">
        <v>9</v>
      </c>
      <c r="G127" s="2" t="s">
        <v>10</v>
      </c>
      <c r="H127" s="2" t="s">
        <v>212</v>
      </c>
      <c r="I127" s="2" t="s">
        <v>213</v>
      </c>
      <c r="J127" s="2">
        <v>104959</v>
      </c>
      <c r="K127" s="2" t="s">
        <v>214</v>
      </c>
      <c r="L127" s="2" t="s">
        <v>18</v>
      </c>
      <c r="M127" t="str">
        <f>I127 &amp; " " &amp; K127</f>
        <v>Guillaume Delattre</v>
      </c>
      <c r="Q127" t="str">
        <f t="shared" si="13"/>
        <v>104959gdelattre</v>
      </c>
    </row>
    <row r="128" spans="1:17" hidden="1" x14ac:dyDescent="0.4">
      <c r="A128">
        <v>150</v>
      </c>
      <c r="B128" s="2"/>
      <c r="C128" s="4">
        <v>45908</v>
      </c>
      <c r="D128" s="5">
        <v>0.66666666666666663</v>
      </c>
      <c r="E128" s="5">
        <v>0.72916666666666663</v>
      </c>
      <c r="F128" s="2" t="s">
        <v>9</v>
      </c>
      <c r="G128" s="2" t="s">
        <v>10</v>
      </c>
      <c r="H128" s="2" t="s">
        <v>96</v>
      </c>
      <c r="I128" s="2" t="s">
        <v>97</v>
      </c>
      <c r="J128" s="2">
        <v>104855</v>
      </c>
      <c r="K128" s="2" t="s">
        <v>98</v>
      </c>
      <c r="L128" s="2" t="s">
        <v>18</v>
      </c>
      <c r="M128" t="str">
        <f>I128 &amp; " " &amp; K128</f>
        <v>Clément Brunet</v>
      </c>
      <c r="Q128" t="str">
        <f t="shared" si="13"/>
        <v>104855cbrunet</v>
      </c>
    </row>
    <row r="129" spans="1:17" hidden="1" x14ac:dyDescent="0.4">
      <c r="A129">
        <v>152</v>
      </c>
      <c r="B129" s="2"/>
      <c r="C129" s="4">
        <v>45908</v>
      </c>
      <c r="D129" s="5">
        <v>0.58333333333333337</v>
      </c>
      <c r="E129" s="5">
        <v>0.64583333333333337</v>
      </c>
      <c r="F129" s="2" t="s">
        <v>9</v>
      </c>
      <c r="G129" s="2" t="s">
        <v>10</v>
      </c>
      <c r="H129" s="2" t="s">
        <v>96</v>
      </c>
      <c r="I129" s="2" t="s">
        <v>97</v>
      </c>
      <c r="J129" s="2">
        <v>104551</v>
      </c>
      <c r="K129" s="2" t="s">
        <v>98</v>
      </c>
      <c r="L129" s="2" t="s">
        <v>18</v>
      </c>
      <c r="M129" t="str">
        <f>I129 &amp; " " &amp; K129</f>
        <v>Clément Brunet</v>
      </c>
      <c r="Q129" t="str">
        <f t="shared" si="13"/>
        <v>104551cbrunet</v>
      </c>
    </row>
    <row r="130" spans="1:17" hidden="1" x14ac:dyDescent="0.4">
      <c r="A130">
        <v>153</v>
      </c>
      <c r="B130" s="2"/>
      <c r="C130" s="4">
        <v>45908</v>
      </c>
      <c r="D130" s="5">
        <v>0.47916666666666669</v>
      </c>
      <c r="E130" s="5">
        <v>0.54166666666666663</v>
      </c>
      <c r="F130" s="2" t="s">
        <v>9</v>
      </c>
      <c r="G130" s="2" t="s">
        <v>10</v>
      </c>
      <c r="H130" s="2" t="s">
        <v>96</v>
      </c>
      <c r="I130" s="2" t="s">
        <v>97</v>
      </c>
      <c r="J130" s="2">
        <v>104550</v>
      </c>
      <c r="K130" s="2" t="s">
        <v>98</v>
      </c>
      <c r="L130" s="2" t="s">
        <v>18</v>
      </c>
      <c r="M130" t="str">
        <f>I130 &amp; " " &amp; K130</f>
        <v>Clément Brunet</v>
      </c>
      <c r="Q130" t="str">
        <f t="shared" si="13"/>
        <v>104550cbrunet</v>
      </c>
    </row>
    <row r="131" spans="1:17" hidden="1" x14ac:dyDescent="0.4">
      <c r="A131">
        <v>154</v>
      </c>
      <c r="B131" s="2"/>
      <c r="C131" s="4">
        <v>45908</v>
      </c>
      <c r="D131" s="5">
        <v>0.375</v>
      </c>
      <c r="E131" s="5">
        <v>0.4375</v>
      </c>
      <c r="F131" s="2" t="s">
        <v>9</v>
      </c>
      <c r="G131" s="2" t="s">
        <v>10</v>
      </c>
      <c r="H131" s="2" t="s">
        <v>96</v>
      </c>
      <c r="I131" s="2" t="s">
        <v>97</v>
      </c>
      <c r="J131" s="2">
        <v>102916</v>
      </c>
      <c r="K131" s="2" t="s">
        <v>98</v>
      </c>
      <c r="L131" s="2" t="s">
        <v>18</v>
      </c>
      <c r="M131" t="str">
        <f>K131 &amp; " " &amp; I131</f>
        <v>Brunet Clément</v>
      </c>
      <c r="Q131" t="str">
        <f t="shared" si="13"/>
        <v>102916cbrunet</v>
      </c>
    </row>
    <row r="132" spans="1:17" hidden="1" x14ac:dyDescent="0.4">
      <c r="A132">
        <v>155</v>
      </c>
      <c r="B132" s="2"/>
      <c r="C132" s="4">
        <v>45909</v>
      </c>
      <c r="D132" s="5">
        <v>0.39583333333333331</v>
      </c>
      <c r="E132" s="5">
        <v>0.47916666666666669</v>
      </c>
      <c r="F132" s="2" t="s">
        <v>9</v>
      </c>
      <c r="G132" s="2" t="s">
        <v>10</v>
      </c>
      <c r="H132" s="2" t="s">
        <v>30</v>
      </c>
      <c r="I132" s="2" t="s">
        <v>31</v>
      </c>
      <c r="J132" s="2">
        <v>104959</v>
      </c>
      <c r="K132" s="2" t="s">
        <v>32</v>
      </c>
      <c r="L132" s="2" t="s">
        <v>18</v>
      </c>
      <c r="M132" t="str">
        <f>I132 &amp; " " &amp; K132</f>
        <v>Antoine Delhoume</v>
      </c>
      <c r="Q132" t="str">
        <f t="shared" si="13"/>
        <v>104959adelhoume</v>
      </c>
    </row>
    <row r="133" spans="1:17" hidden="1" x14ac:dyDescent="0.4">
      <c r="A133">
        <v>156</v>
      </c>
      <c r="B133" s="2"/>
      <c r="C133" s="4">
        <v>45909</v>
      </c>
      <c r="D133" s="5">
        <v>0.39583333333333331</v>
      </c>
      <c r="E133" s="5">
        <v>0.47916666666666669</v>
      </c>
      <c r="F133" s="2" t="s">
        <v>9</v>
      </c>
      <c r="G133" s="2" t="s">
        <v>10</v>
      </c>
      <c r="H133" s="2" t="s">
        <v>199</v>
      </c>
      <c r="I133" s="2" t="s">
        <v>200</v>
      </c>
      <c r="J133" s="2">
        <v>104959</v>
      </c>
      <c r="K133" s="2" t="s">
        <v>201</v>
      </c>
      <c r="L133" s="2" t="s">
        <v>14</v>
      </c>
      <c r="M133" t="str">
        <f t="shared" ref="M133:M136" si="15">K133 &amp; " " &amp; I133</f>
        <v>Deschodt Florian</v>
      </c>
      <c r="Q133" t="str">
        <f t="shared" si="13"/>
        <v>104959fdeschodt</v>
      </c>
    </row>
    <row r="134" spans="1:17" hidden="1" x14ac:dyDescent="0.4">
      <c r="A134">
        <v>158</v>
      </c>
      <c r="B134" s="2"/>
      <c r="C134" s="4">
        <v>45908</v>
      </c>
      <c r="D134" s="5">
        <v>0.58333333333333337</v>
      </c>
      <c r="E134" s="5">
        <v>0.64583333333333337</v>
      </c>
      <c r="F134" s="2" t="s">
        <v>9</v>
      </c>
      <c r="G134" s="2" t="s">
        <v>10</v>
      </c>
      <c r="H134" s="2" t="s">
        <v>128</v>
      </c>
      <c r="I134" s="2" t="s">
        <v>129</v>
      </c>
      <c r="J134" s="2">
        <v>104551</v>
      </c>
      <c r="K134" s="2" t="s">
        <v>130</v>
      </c>
      <c r="L134" s="2" t="s">
        <v>14</v>
      </c>
      <c r="M134" t="str">
        <f t="shared" si="15"/>
        <v>Canada Gutierrez Diego</v>
      </c>
      <c r="Q134" t="str">
        <f t="shared" si="13"/>
        <v>104551dcanadagutierrez</v>
      </c>
    </row>
    <row r="135" spans="1:17" hidden="1" x14ac:dyDescent="0.4">
      <c r="A135">
        <v>159</v>
      </c>
      <c r="B135" s="2"/>
      <c r="C135" s="4">
        <v>45908</v>
      </c>
      <c r="D135" s="5">
        <v>0.47916666666666669</v>
      </c>
      <c r="E135" s="5">
        <v>0.54166666666666663</v>
      </c>
      <c r="F135" s="2" t="s">
        <v>9</v>
      </c>
      <c r="G135" s="2" t="s">
        <v>10</v>
      </c>
      <c r="H135" s="2" t="s">
        <v>128</v>
      </c>
      <c r="I135" s="2" t="s">
        <v>129</v>
      </c>
      <c r="J135" s="2">
        <v>104550</v>
      </c>
      <c r="K135" s="2" t="s">
        <v>130</v>
      </c>
      <c r="L135" s="2" t="s">
        <v>14</v>
      </c>
      <c r="M135" t="str">
        <f t="shared" si="15"/>
        <v>Canada Gutierrez Diego</v>
      </c>
      <c r="Q135" t="str">
        <f t="shared" si="13"/>
        <v>104550dcanadagutierrez</v>
      </c>
    </row>
    <row r="136" spans="1:17" hidden="1" x14ac:dyDescent="0.4">
      <c r="A136">
        <v>160</v>
      </c>
      <c r="B136" s="2"/>
      <c r="C136" s="4">
        <v>45908</v>
      </c>
      <c r="D136" s="5">
        <v>0.375</v>
      </c>
      <c r="E136" s="5">
        <v>0.4375</v>
      </c>
      <c r="F136" s="2" t="s">
        <v>9</v>
      </c>
      <c r="G136" s="2" t="s">
        <v>10</v>
      </c>
      <c r="H136" s="2" t="s">
        <v>128</v>
      </c>
      <c r="I136" s="2" t="s">
        <v>129</v>
      </c>
      <c r="J136" s="2">
        <v>102916</v>
      </c>
      <c r="K136" s="2" t="s">
        <v>130</v>
      </c>
      <c r="L136" s="2" t="s">
        <v>14</v>
      </c>
      <c r="M136" t="str">
        <f t="shared" si="15"/>
        <v>Canada Gutierrez Diego</v>
      </c>
      <c r="Q136" t="str">
        <f t="shared" si="13"/>
        <v>102916dcanadagutierrez</v>
      </c>
    </row>
    <row r="137" spans="1:17" hidden="1" x14ac:dyDescent="0.4">
      <c r="A137">
        <v>162</v>
      </c>
      <c r="B137" s="2"/>
      <c r="C137" s="4">
        <v>45909</v>
      </c>
      <c r="D137" s="5">
        <v>0.39583333333333331</v>
      </c>
      <c r="E137" s="5">
        <v>0.47916666666666669</v>
      </c>
      <c r="F137" s="2" t="s">
        <v>9</v>
      </c>
      <c r="G137" s="2" t="s">
        <v>10</v>
      </c>
      <c r="H137" s="2" t="s">
        <v>33</v>
      </c>
      <c r="I137" s="2" t="s">
        <v>34</v>
      </c>
      <c r="J137" s="2">
        <v>104959</v>
      </c>
      <c r="K137" s="2" t="s">
        <v>35</v>
      </c>
      <c r="L137" s="2" t="s">
        <v>18</v>
      </c>
      <c r="M137" t="str">
        <f>I137 &amp; " " &amp; K137</f>
        <v>Allan d'Orlan de Polignac</v>
      </c>
      <c r="Q137" t="str">
        <f t="shared" si="13"/>
        <v>104959adorlandepolignac</v>
      </c>
    </row>
    <row r="138" spans="1:17" hidden="1" x14ac:dyDescent="0.4">
      <c r="A138">
        <v>163</v>
      </c>
      <c r="B138" s="2"/>
      <c r="C138" s="4">
        <v>45908</v>
      </c>
      <c r="D138" s="5">
        <v>0.66666666666666663</v>
      </c>
      <c r="E138" s="5">
        <v>0.72916666666666663</v>
      </c>
      <c r="F138" s="2" t="s">
        <v>9</v>
      </c>
      <c r="G138" s="2" t="s">
        <v>10</v>
      </c>
      <c r="H138" s="2" t="s">
        <v>190</v>
      </c>
      <c r="I138" s="2" t="s">
        <v>191</v>
      </c>
      <c r="J138" s="2">
        <v>104855</v>
      </c>
      <c r="K138" s="2" t="s">
        <v>192</v>
      </c>
      <c r="L138" s="2" t="s">
        <v>18</v>
      </c>
      <c r="M138" t="str">
        <f>I138 &amp; " " &amp; K138</f>
        <v>Félix Cantau</v>
      </c>
      <c r="Q138" t="str">
        <f t="shared" si="13"/>
        <v>104855fcantau</v>
      </c>
    </row>
    <row r="139" spans="1:17" hidden="1" x14ac:dyDescent="0.4">
      <c r="A139">
        <v>165</v>
      </c>
      <c r="B139" s="2"/>
      <c r="C139" s="4">
        <v>45908</v>
      </c>
      <c r="D139" s="5">
        <v>0.58333333333333337</v>
      </c>
      <c r="E139" s="5">
        <v>0.64583333333333337</v>
      </c>
      <c r="F139" s="2" t="s">
        <v>9</v>
      </c>
      <c r="G139" s="2" t="s">
        <v>10</v>
      </c>
      <c r="H139" s="2" t="s">
        <v>190</v>
      </c>
      <c r="I139" s="2" t="s">
        <v>191</v>
      </c>
      <c r="J139" s="2">
        <v>104551</v>
      </c>
      <c r="K139" s="2" t="s">
        <v>192</v>
      </c>
      <c r="L139" s="2" t="s">
        <v>18</v>
      </c>
      <c r="M139" t="str">
        <f>I139 &amp; " " &amp; K139</f>
        <v>Félix Cantau</v>
      </c>
      <c r="Q139" t="str">
        <f t="shared" si="13"/>
        <v>104551fcantau</v>
      </c>
    </row>
    <row r="140" spans="1:17" hidden="1" x14ac:dyDescent="0.4">
      <c r="A140">
        <v>166</v>
      </c>
      <c r="B140" s="2"/>
      <c r="C140" s="4">
        <v>45908</v>
      </c>
      <c r="D140" s="5">
        <v>0.47916666666666669</v>
      </c>
      <c r="E140" s="5">
        <v>0.54166666666666663</v>
      </c>
      <c r="F140" s="2" t="s">
        <v>9</v>
      </c>
      <c r="G140" s="2" t="s">
        <v>10</v>
      </c>
      <c r="H140" s="2" t="s">
        <v>190</v>
      </c>
      <c r="I140" s="2" t="s">
        <v>191</v>
      </c>
      <c r="J140" s="2">
        <v>104550</v>
      </c>
      <c r="K140" s="2" t="s">
        <v>192</v>
      </c>
      <c r="L140" s="2" t="s">
        <v>18</v>
      </c>
      <c r="M140" t="str">
        <f>I140 &amp; " " &amp; K140</f>
        <v>Félix Cantau</v>
      </c>
      <c r="Q140" t="str">
        <f t="shared" si="13"/>
        <v>104550fcantau</v>
      </c>
    </row>
    <row r="141" spans="1:17" hidden="1" x14ac:dyDescent="0.4">
      <c r="A141">
        <v>167</v>
      </c>
      <c r="B141" s="2"/>
      <c r="C141" s="4">
        <v>45908</v>
      </c>
      <c r="D141" s="5">
        <v>0.375</v>
      </c>
      <c r="E141" s="5">
        <v>0.4375</v>
      </c>
      <c r="F141" s="2" t="s">
        <v>9</v>
      </c>
      <c r="G141" s="2" t="s">
        <v>10</v>
      </c>
      <c r="H141" s="2" t="s">
        <v>190</v>
      </c>
      <c r="I141" s="2" t="s">
        <v>191</v>
      </c>
      <c r="J141" s="2">
        <v>102916</v>
      </c>
      <c r="K141" s="2" t="s">
        <v>192</v>
      </c>
      <c r="L141" s="2" t="s">
        <v>18</v>
      </c>
      <c r="M141" t="str">
        <f>I141 &amp; " " &amp; K141</f>
        <v>Félix Cantau</v>
      </c>
      <c r="Q141" t="str">
        <f t="shared" si="13"/>
        <v>102916fcantau</v>
      </c>
    </row>
    <row r="142" spans="1:17" hidden="1" x14ac:dyDescent="0.4">
      <c r="A142">
        <v>168</v>
      </c>
      <c r="B142" s="2"/>
      <c r="C142" s="4">
        <v>45909</v>
      </c>
      <c r="D142" s="5">
        <v>0.39583333333333331</v>
      </c>
      <c r="E142" s="5">
        <v>0.47916666666666669</v>
      </c>
      <c r="F142" s="2" t="s">
        <v>9</v>
      </c>
      <c r="G142" s="2" t="s">
        <v>10</v>
      </c>
      <c r="H142" s="2" t="s">
        <v>438</v>
      </c>
      <c r="I142" s="2" t="s">
        <v>439</v>
      </c>
      <c r="J142" s="2">
        <v>104959</v>
      </c>
      <c r="K142" s="2" t="s">
        <v>440</v>
      </c>
      <c r="L142" s="2" t="s">
        <v>14</v>
      </c>
      <c r="M142" t="str">
        <f>K142 &amp; " " &amp; I142</f>
        <v>Dornik Nadja</v>
      </c>
      <c r="Q142" t="str">
        <f t="shared" si="13"/>
        <v>104959nnadja</v>
      </c>
    </row>
    <row r="143" spans="1:17" hidden="1" x14ac:dyDescent="0.4">
      <c r="A143">
        <v>169</v>
      </c>
      <c r="B143" s="2"/>
      <c r="C143" s="4">
        <v>45909</v>
      </c>
      <c r="D143" s="5">
        <v>0.39583333333333331</v>
      </c>
      <c r="E143" s="5">
        <v>0.47916666666666669</v>
      </c>
      <c r="F143" s="2" t="s">
        <v>9</v>
      </c>
      <c r="G143" s="2" t="s">
        <v>10</v>
      </c>
      <c r="H143" s="2" t="s">
        <v>151</v>
      </c>
      <c r="I143" s="2" t="s">
        <v>152</v>
      </c>
      <c r="J143" s="2">
        <v>104959</v>
      </c>
      <c r="K143" s="2" t="s">
        <v>153</v>
      </c>
      <c r="L143" s="2" t="s">
        <v>14</v>
      </c>
      <c r="M143" t="str">
        <f>K143 &amp; " " &amp; I143</f>
        <v>Doumic Elisabeth</v>
      </c>
      <c r="Q143" t="str">
        <f t="shared" si="13"/>
        <v>104959edoumic</v>
      </c>
    </row>
    <row r="144" spans="1:17" hidden="1" x14ac:dyDescent="0.4">
      <c r="A144">
        <v>170</v>
      </c>
      <c r="B144" s="2"/>
      <c r="C144" s="4">
        <v>45908</v>
      </c>
      <c r="D144" s="5">
        <v>0.66666666666666663</v>
      </c>
      <c r="E144" s="5">
        <v>0.72916666666666663</v>
      </c>
      <c r="F144" s="2" t="s">
        <v>9</v>
      </c>
      <c r="G144" s="2" t="s">
        <v>10</v>
      </c>
      <c r="H144" s="2" t="s">
        <v>22</v>
      </c>
      <c r="I144" s="2" t="s">
        <v>23</v>
      </c>
      <c r="J144" s="2">
        <v>104855</v>
      </c>
      <c r="K144" s="2" t="s">
        <v>24</v>
      </c>
      <c r="L144" s="2" t="s">
        <v>18</v>
      </c>
      <c r="M144" t="str">
        <f>I144 &amp; " " &amp; K144</f>
        <v>Anaïs Carde</v>
      </c>
      <c r="Q144" t="str">
        <f t="shared" si="13"/>
        <v>104855acarde</v>
      </c>
    </row>
    <row r="145" spans="1:17" hidden="1" x14ac:dyDescent="0.4">
      <c r="A145">
        <v>172</v>
      </c>
      <c r="B145" s="2"/>
      <c r="C145" s="4">
        <v>45908</v>
      </c>
      <c r="D145" s="5">
        <v>0.58333333333333337</v>
      </c>
      <c r="E145" s="5">
        <v>0.64583333333333337</v>
      </c>
      <c r="F145" s="2" t="s">
        <v>9</v>
      </c>
      <c r="G145" s="2" t="s">
        <v>10</v>
      </c>
      <c r="H145" s="2" t="s">
        <v>22</v>
      </c>
      <c r="I145" s="2" t="s">
        <v>23</v>
      </c>
      <c r="J145" s="2">
        <v>104551</v>
      </c>
      <c r="K145" s="2" t="s">
        <v>24</v>
      </c>
      <c r="L145" s="2" t="s">
        <v>18</v>
      </c>
      <c r="M145" t="str">
        <f>I145 &amp; " " &amp; K145</f>
        <v>Anaïs Carde</v>
      </c>
      <c r="Q145" t="str">
        <f t="shared" si="13"/>
        <v>104551acarde</v>
      </c>
    </row>
    <row r="146" spans="1:17" hidden="1" x14ac:dyDescent="0.4">
      <c r="A146">
        <v>173</v>
      </c>
      <c r="B146" s="2"/>
      <c r="C146" s="4">
        <v>45908</v>
      </c>
      <c r="D146" s="5">
        <v>0.47916666666666669</v>
      </c>
      <c r="E146" s="5">
        <v>0.54166666666666663</v>
      </c>
      <c r="F146" s="2" t="s">
        <v>9</v>
      </c>
      <c r="G146" s="2" t="s">
        <v>10</v>
      </c>
      <c r="H146" s="2" t="s">
        <v>22</v>
      </c>
      <c r="I146" s="2" t="s">
        <v>23</v>
      </c>
      <c r="J146" s="2">
        <v>104550</v>
      </c>
      <c r="K146" s="2" t="s">
        <v>24</v>
      </c>
      <c r="L146" s="2" t="s">
        <v>18</v>
      </c>
      <c r="M146" t="str">
        <f>I146 &amp; " " &amp; K146</f>
        <v>Anaïs Carde</v>
      </c>
      <c r="Q146" t="str">
        <f t="shared" si="13"/>
        <v>104550acarde</v>
      </c>
    </row>
    <row r="147" spans="1:17" hidden="1" x14ac:dyDescent="0.4">
      <c r="A147">
        <v>174</v>
      </c>
      <c r="B147" s="2"/>
      <c r="C147" s="4">
        <v>45908</v>
      </c>
      <c r="D147" s="5">
        <v>0.375</v>
      </c>
      <c r="E147" s="5">
        <v>0.4375</v>
      </c>
      <c r="F147" s="2" t="s">
        <v>9</v>
      </c>
      <c r="G147" s="2" t="s">
        <v>10</v>
      </c>
      <c r="H147" s="2" t="s">
        <v>22</v>
      </c>
      <c r="I147" s="2" t="s">
        <v>23</v>
      </c>
      <c r="J147" s="2">
        <v>102916</v>
      </c>
      <c r="K147" s="2" t="s">
        <v>24</v>
      </c>
      <c r="L147" s="2" t="s">
        <v>18</v>
      </c>
      <c r="M147" t="str">
        <f>K147 &amp; " " &amp; I147</f>
        <v>Carde Anaïs</v>
      </c>
      <c r="Q147" t="str">
        <f t="shared" si="13"/>
        <v>102916acarde</v>
      </c>
    </row>
    <row r="148" spans="1:17" hidden="1" x14ac:dyDescent="0.4">
      <c r="A148">
        <v>175</v>
      </c>
      <c r="B148" s="2"/>
      <c r="C148" s="4">
        <v>45909</v>
      </c>
      <c r="D148" s="5">
        <v>0.39583333333333331</v>
      </c>
      <c r="E148" s="5">
        <v>0.47916666666666669</v>
      </c>
      <c r="F148" s="2" t="s">
        <v>9</v>
      </c>
      <c r="G148" s="2" t="s">
        <v>10</v>
      </c>
      <c r="H148" s="2" t="s">
        <v>272</v>
      </c>
      <c r="I148" s="2" t="s">
        <v>273</v>
      </c>
      <c r="J148" s="2">
        <v>104959</v>
      </c>
      <c r="K148" s="2" t="s">
        <v>274</v>
      </c>
      <c r="L148" s="2" t="s">
        <v>18</v>
      </c>
      <c r="M148" t="str">
        <f>I148 &amp; " " &amp; K148</f>
        <v>Jules Doursout</v>
      </c>
      <c r="Q148" t="str">
        <f t="shared" si="13"/>
        <v>104959jdoursout</v>
      </c>
    </row>
    <row r="149" spans="1:17" hidden="1" x14ac:dyDescent="0.4">
      <c r="A149">
        <v>176</v>
      </c>
      <c r="B149" s="2"/>
      <c r="C149" s="4">
        <v>45909</v>
      </c>
      <c r="D149" s="5">
        <v>0.39583333333333331</v>
      </c>
      <c r="E149" s="5">
        <v>0.47916666666666669</v>
      </c>
      <c r="F149" s="2" t="s">
        <v>9</v>
      </c>
      <c r="G149" s="2" t="s">
        <v>10</v>
      </c>
      <c r="H149" s="2" t="s">
        <v>275</v>
      </c>
      <c r="I149" s="2" t="s">
        <v>276</v>
      </c>
      <c r="J149" s="2">
        <v>104959</v>
      </c>
      <c r="K149" s="2" t="s">
        <v>277</v>
      </c>
      <c r="L149" s="2" t="s">
        <v>18</v>
      </c>
      <c r="M149" t="str">
        <f>I149 &amp; " " &amp; K149</f>
        <v>Jingrun du</v>
      </c>
      <c r="Q149" t="str">
        <f t="shared" si="13"/>
        <v>104959jdu</v>
      </c>
    </row>
    <row r="150" spans="1:17" hidden="1" x14ac:dyDescent="0.4">
      <c r="A150">
        <v>178</v>
      </c>
      <c r="B150" s="2"/>
      <c r="C150" s="4">
        <v>45908</v>
      </c>
      <c r="D150" s="5">
        <v>0.58333333333333337</v>
      </c>
      <c r="E150" s="5">
        <v>0.64583333333333337</v>
      </c>
      <c r="F150" s="2" t="s">
        <v>9</v>
      </c>
      <c r="G150" s="2" t="s">
        <v>10</v>
      </c>
      <c r="H150" s="2" t="s">
        <v>145</v>
      </c>
      <c r="I150" s="2" t="s">
        <v>146</v>
      </c>
      <c r="J150" s="2">
        <v>104551</v>
      </c>
      <c r="K150" s="2" t="s">
        <v>147</v>
      </c>
      <c r="L150" s="2" t="s">
        <v>14</v>
      </c>
      <c r="M150" t="str">
        <f>K150 &amp; " " &amp; I150</f>
        <v>Caron Etienne</v>
      </c>
      <c r="Q150" t="str">
        <f t="shared" si="13"/>
        <v>104551ecaron</v>
      </c>
    </row>
    <row r="151" spans="1:17" hidden="1" x14ac:dyDescent="0.4">
      <c r="A151">
        <v>179</v>
      </c>
      <c r="B151" s="2"/>
      <c r="C151" s="4">
        <v>45908</v>
      </c>
      <c r="D151" s="5">
        <v>0.47916666666666669</v>
      </c>
      <c r="E151" s="5">
        <v>0.54166666666666663</v>
      </c>
      <c r="F151" s="2" t="s">
        <v>9</v>
      </c>
      <c r="G151" s="2" t="s">
        <v>10</v>
      </c>
      <c r="H151" s="2" t="s">
        <v>145</v>
      </c>
      <c r="I151" s="2" t="s">
        <v>146</v>
      </c>
      <c r="J151" s="2">
        <v>104550</v>
      </c>
      <c r="K151" s="2" t="s">
        <v>147</v>
      </c>
      <c r="L151" s="2" t="s">
        <v>14</v>
      </c>
      <c r="M151" t="str">
        <f>K151 &amp; " " &amp; I151</f>
        <v>Caron Etienne</v>
      </c>
      <c r="Q151" t="str">
        <f t="shared" si="13"/>
        <v>104550ecaron</v>
      </c>
    </row>
    <row r="152" spans="1:17" hidden="1" x14ac:dyDescent="0.4">
      <c r="A152">
        <v>180</v>
      </c>
      <c r="B152" s="2"/>
      <c r="C152" s="4">
        <v>45908</v>
      </c>
      <c r="D152" s="5">
        <v>0.375</v>
      </c>
      <c r="E152" s="5">
        <v>0.4375</v>
      </c>
      <c r="F152" s="2" t="s">
        <v>9</v>
      </c>
      <c r="G152" s="2" t="s">
        <v>10</v>
      </c>
      <c r="H152" s="2" t="s">
        <v>145</v>
      </c>
      <c r="I152" s="2" t="s">
        <v>146</v>
      </c>
      <c r="J152" s="2">
        <v>102916</v>
      </c>
      <c r="K152" s="2" t="s">
        <v>147</v>
      </c>
      <c r="L152" s="2" t="s">
        <v>14</v>
      </c>
      <c r="M152" t="str">
        <f>K152 &amp; " " &amp; I152</f>
        <v>Caron Etienne</v>
      </c>
      <c r="Q152" t="str">
        <f t="shared" si="13"/>
        <v>102916ecaron</v>
      </c>
    </row>
    <row r="153" spans="1:17" hidden="1" x14ac:dyDescent="0.4">
      <c r="A153">
        <v>181</v>
      </c>
      <c r="B153" s="2"/>
      <c r="C153" s="4">
        <v>45909</v>
      </c>
      <c r="D153" s="5">
        <v>0.39583333333333331</v>
      </c>
      <c r="E153" s="5">
        <v>0.47916666666666669</v>
      </c>
      <c r="F153" s="2" t="s">
        <v>9</v>
      </c>
      <c r="G153" s="2" t="s">
        <v>10</v>
      </c>
      <c r="H153" s="2" t="s">
        <v>418</v>
      </c>
      <c r="I153" s="2" t="s">
        <v>419</v>
      </c>
      <c r="J153" s="2">
        <v>104959</v>
      </c>
      <c r="K153" s="2" t="s">
        <v>420</v>
      </c>
      <c r="L153" s="2" t="s">
        <v>18</v>
      </c>
      <c r="M153" t="str">
        <f>I153 &amp; " " &amp; K153</f>
        <v>Noam Duboille</v>
      </c>
      <c r="Q153" t="str">
        <f t="shared" si="13"/>
        <v>104959nduboille</v>
      </c>
    </row>
    <row r="154" spans="1:17" hidden="1" x14ac:dyDescent="0.4">
      <c r="A154">
        <v>182</v>
      </c>
      <c r="B154" s="2"/>
      <c r="C154" s="4">
        <v>45909</v>
      </c>
      <c r="D154" s="5">
        <v>0.39583333333333331</v>
      </c>
      <c r="E154" s="5">
        <v>0.47916666666666669</v>
      </c>
      <c r="F154" s="2" t="s">
        <v>9</v>
      </c>
      <c r="G154" s="2" t="s">
        <v>10</v>
      </c>
      <c r="H154" s="2" t="s">
        <v>306</v>
      </c>
      <c r="I154" s="2" t="s">
        <v>307</v>
      </c>
      <c r="J154" s="2">
        <v>104959</v>
      </c>
      <c r="K154" s="2" t="s">
        <v>308</v>
      </c>
      <c r="L154" s="2" t="s">
        <v>14</v>
      </c>
      <c r="M154" t="str">
        <f>K154 &amp; " " &amp; I154</f>
        <v>Dutreix Lou Anne</v>
      </c>
      <c r="Q154" t="str">
        <f t="shared" si="13"/>
        <v>104959ladutreix</v>
      </c>
    </row>
    <row r="155" spans="1:17" hidden="1" x14ac:dyDescent="0.4">
      <c r="A155">
        <v>183</v>
      </c>
      <c r="B155" s="2"/>
      <c r="C155" s="4">
        <v>45908</v>
      </c>
      <c r="D155" s="5">
        <v>0.66666666666666663</v>
      </c>
      <c r="E155" s="5">
        <v>0.72916666666666663</v>
      </c>
      <c r="F155" s="2" t="s">
        <v>9</v>
      </c>
      <c r="G155" s="2" t="s">
        <v>10</v>
      </c>
      <c r="H155" s="2" t="s">
        <v>193</v>
      </c>
      <c r="I155" s="2" t="s">
        <v>194</v>
      </c>
      <c r="J155" s="2">
        <v>104855</v>
      </c>
      <c r="K155" s="2" t="s">
        <v>195</v>
      </c>
      <c r="L155" s="2" t="s">
        <v>18</v>
      </c>
      <c r="M155" t="str">
        <f>I155 &amp; " " &amp; K155</f>
        <v>Fanny Casati--Lewandowski</v>
      </c>
      <c r="Q155" t="str">
        <f t="shared" si="13"/>
        <v>104855fcasatilewandowski</v>
      </c>
    </row>
    <row r="156" spans="1:17" hidden="1" x14ac:dyDescent="0.4">
      <c r="A156">
        <v>185</v>
      </c>
      <c r="B156" s="2"/>
      <c r="C156" s="4">
        <v>45908</v>
      </c>
      <c r="D156" s="5">
        <v>0.58333333333333337</v>
      </c>
      <c r="E156" s="5">
        <v>0.64583333333333337</v>
      </c>
      <c r="F156" s="2" t="s">
        <v>9</v>
      </c>
      <c r="G156" s="2" t="s">
        <v>10</v>
      </c>
      <c r="H156" s="2" t="s">
        <v>193</v>
      </c>
      <c r="I156" s="2" t="s">
        <v>194</v>
      </c>
      <c r="J156" s="2">
        <v>104551</v>
      </c>
      <c r="K156" s="2" t="s">
        <v>195</v>
      </c>
      <c r="L156" s="2" t="s">
        <v>18</v>
      </c>
      <c r="M156" t="str">
        <f>I156 &amp; " " &amp; K156</f>
        <v>Fanny Casati--Lewandowski</v>
      </c>
      <c r="Q156" t="str">
        <f t="shared" si="13"/>
        <v>104551fcasatilewandowski</v>
      </c>
    </row>
    <row r="157" spans="1:17" hidden="1" x14ac:dyDescent="0.4">
      <c r="A157">
        <v>186</v>
      </c>
      <c r="B157" s="2"/>
      <c r="C157" s="4">
        <v>45908</v>
      </c>
      <c r="D157" s="5">
        <v>0.47916666666666669</v>
      </c>
      <c r="E157" s="5">
        <v>0.54166666666666663</v>
      </c>
      <c r="F157" s="2" t="s">
        <v>9</v>
      </c>
      <c r="G157" s="2" t="s">
        <v>10</v>
      </c>
      <c r="H157" s="2" t="s">
        <v>193</v>
      </c>
      <c r="I157" s="2" t="s">
        <v>194</v>
      </c>
      <c r="J157" s="2">
        <v>104550</v>
      </c>
      <c r="K157" s="2" t="s">
        <v>195</v>
      </c>
      <c r="L157" s="2" t="s">
        <v>18</v>
      </c>
      <c r="M157" t="str">
        <f>I157 &amp; " " &amp; K157</f>
        <v>Fanny Casati--Lewandowski</v>
      </c>
      <c r="Q157" t="str">
        <f t="shared" si="13"/>
        <v>104550fcasatilewandowski</v>
      </c>
    </row>
    <row r="158" spans="1:17" hidden="1" x14ac:dyDescent="0.4">
      <c r="A158">
        <v>187</v>
      </c>
      <c r="B158" s="2"/>
      <c r="C158" s="4">
        <v>45908</v>
      </c>
      <c r="D158" s="5">
        <v>0.375</v>
      </c>
      <c r="E158" s="5">
        <v>0.4375</v>
      </c>
      <c r="F158" s="2" t="s">
        <v>9</v>
      </c>
      <c r="G158" s="2" t="s">
        <v>10</v>
      </c>
      <c r="H158" s="2" t="s">
        <v>193</v>
      </c>
      <c r="I158" s="2" t="s">
        <v>194</v>
      </c>
      <c r="J158" s="2">
        <v>102916</v>
      </c>
      <c r="K158" s="2" t="s">
        <v>195</v>
      </c>
      <c r="L158" s="2" t="s">
        <v>18</v>
      </c>
      <c r="M158" t="str">
        <f>K158 &amp; " " &amp; I158</f>
        <v>Casati--Lewandowski Fanny</v>
      </c>
      <c r="Q158" t="str">
        <f t="shared" si="13"/>
        <v>102916fcasatilewandowski</v>
      </c>
    </row>
    <row r="159" spans="1:17" hidden="1" x14ac:dyDescent="0.4">
      <c r="A159">
        <v>188</v>
      </c>
      <c r="B159" s="2"/>
      <c r="C159" s="4">
        <v>45909</v>
      </c>
      <c r="D159" s="5">
        <v>0.39583333333333331</v>
      </c>
      <c r="E159" s="5">
        <v>0.47916666666666669</v>
      </c>
      <c r="F159" s="2" t="s">
        <v>9</v>
      </c>
      <c r="G159" s="2" t="s">
        <v>10</v>
      </c>
      <c r="H159" s="2" t="s">
        <v>39</v>
      </c>
      <c r="I159" s="2" t="s">
        <v>40</v>
      </c>
      <c r="J159" s="2">
        <v>104959</v>
      </c>
      <c r="K159" s="2" t="s">
        <v>41</v>
      </c>
      <c r="L159" s="2" t="s">
        <v>18</v>
      </c>
      <c r="M159" t="str">
        <f>I159 &amp; " " &amp; K159</f>
        <v>Aseman Esmaeilzadeh</v>
      </c>
      <c r="Q159" t="str">
        <f t="shared" si="13"/>
        <v>104959aesmaeilzadeh</v>
      </c>
    </row>
    <row r="160" spans="1:17" hidden="1" x14ac:dyDescent="0.4">
      <c r="A160">
        <v>189</v>
      </c>
      <c r="B160" s="2"/>
      <c r="C160" s="4">
        <v>45909</v>
      </c>
      <c r="D160" s="5">
        <v>0.39583333333333331</v>
      </c>
      <c r="E160" s="5">
        <v>0.47916666666666669</v>
      </c>
      <c r="F160" s="2" t="s">
        <v>9</v>
      </c>
      <c r="G160" s="2" t="s">
        <v>10</v>
      </c>
      <c r="H160" s="2" t="s">
        <v>585</v>
      </c>
      <c r="I160" s="2" t="s">
        <v>586</v>
      </c>
      <c r="J160" s="2">
        <v>104959</v>
      </c>
      <c r="K160" s="2" t="s">
        <v>587</v>
      </c>
      <c r="L160" s="2" t="s">
        <v>18</v>
      </c>
      <c r="M160" t="str">
        <f>I160 &amp; " " &amp; K160</f>
        <v>Violette Esnault</v>
      </c>
      <c r="Q160" t="str">
        <f t="shared" si="13"/>
        <v>104959vesnault</v>
      </c>
    </row>
    <row r="161" spans="1:17" hidden="1" x14ac:dyDescent="0.4">
      <c r="A161">
        <v>190</v>
      </c>
      <c r="B161" s="2"/>
      <c r="C161" s="4">
        <v>45908</v>
      </c>
      <c r="D161" s="5">
        <v>0.66666666666666663</v>
      </c>
      <c r="E161" s="5">
        <v>0.72916666666666663</v>
      </c>
      <c r="F161" s="2" t="s">
        <v>9</v>
      </c>
      <c r="G161" s="2" t="s">
        <v>10</v>
      </c>
      <c r="H161" s="2" t="s">
        <v>266</v>
      </c>
      <c r="I161" s="2" t="s">
        <v>267</v>
      </c>
      <c r="J161" s="2">
        <v>104855</v>
      </c>
      <c r="K161" s="2" t="s">
        <v>268</v>
      </c>
      <c r="L161" s="2" t="s">
        <v>18</v>
      </c>
      <c r="M161" t="str">
        <f>I161 &amp; " " &amp; K161</f>
        <v>Jean Cé</v>
      </c>
      <c r="Q161" t="str">
        <f t="shared" si="13"/>
        <v>104855jce</v>
      </c>
    </row>
    <row r="162" spans="1:17" hidden="1" x14ac:dyDescent="0.4">
      <c r="A162">
        <v>192</v>
      </c>
      <c r="B162" s="2"/>
      <c r="C162" s="4">
        <v>45908</v>
      </c>
      <c r="D162" s="5">
        <v>0.58333333333333337</v>
      </c>
      <c r="E162" s="5">
        <v>0.64583333333333337</v>
      </c>
      <c r="F162" s="2" t="s">
        <v>9</v>
      </c>
      <c r="G162" s="2" t="s">
        <v>10</v>
      </c>
      <c r="H162" s="2" t="s">
        <v>266</v>
      </c>
      <c r="I162" s="2" t="s">
        <v>267</v>
      </c>
      <c r="J162" s="2">
        <v>104551</v>
      </c>
      <c r="K162" s="2" t="s">
        <v>268</v>
      </c>
      <c r="L162" s="2" t="s">
        <v>18</v>
      </c>
      <c r="M162" t="str">
        <f>I162 &amp; " " &amp; K162</f>
        <v>Jean Cé</v>
      </c>
      <c r="Q162" t="str">
        <f t="shared" si="13"/>
        <v>104551jce</v>
      </c>
    </row>
    <row r="163" spans="1:17" hidden="1" x14ac:dyDescent="0.4">
      <c r="A163">
        <v>193</v>
      </c>
      <c r="B163" s="2"/>
      <c r="C163" s="4">
        <v>45908</v>
      </c>
      <c r="D163" s="5">
        <v>0.47916666666666669</v>
      </c>
      <c r="E163" s="5">
        <v>0.54166666666666663</v>
      </c>
      <c r="F163" s="2" t="s">
        <v>9</v>
      </c>
      <c r="G163" s="2" t="s">
        <v>10</v>
      </c>
      <c r="H163" s="2" t="s">
        <v>266</v>
      </c>
      <c r="I163" s="2" t="s">
        <v>267</v>
      </c>
      <c r="J163" s="2">
        <v>104550</v>
      </c>
      <c r="K163" s="2" t="s">
        <v>268</v>
      </c>
      <c r="L163" s="2" t="s">
        <v>18</v>
      </c>
      <c r="M163" t="str">
        <f>I163 &amp; " " &amp; K163</f>
        <v>Jean Cé</v>
      </c>
      <c r="Q163" t="str">
        <f t="shared" si="13"/>
        <v>104550jce</v>
      </c>
    </row>
    <row r="164" spans="1:17" hidden="1" x14ac:dyDescent="0.4">
      <c r="A164">
        <v>194</v>
      </c>
      <c r="B164" s="2"/>
      <c r="C164" s="4">
        <v>45908</v>
      </c>
      <c r="D164" s="5">
        <v>0.375</v>
      </c>
      <c r="E164" s="5">
        <v>0.4375</v>
      </c>
      <c r="F164" s="2" t="s">
        <v>9</v>
      </c>
      <c r="G164" s="2" t="s">
        <v>10</v>
      </c>
      <c r="H164" s="2" t="s">
        <v>266</v>
      </c>
      <c r="I164" s="2" t="s">
        <v>267</v>
      </c>
      <c r="J164" s="2">
        <v>102916</v>
      </c>
      <c r="K164" s="2" t="s">
        <v>268</v>
      </c>
      <c r="L164" s="2" t="s">
        <v>18</v>
      </c>
      <c r="M164" t="str">
        <f>K164 &amp; " " &amp; I164</f>
        <v>Cé Jean</v>
      </c>
      <c r="Q164" t="str">
        <f t="shared" ref="Q164:Q216" si="16">J164&amp;H164</f>
        <v>102916jce</v>
      </c>
    </row>
    <row r="165" spans="1:17" hidden="1" x14ac:dyDescent="0.4">
      <c r="A165">
        <v>195</v>
      </c>
      <c r="B165" s="2"/>
      <c r="C165" s="4">
        <v>45909</v>
      </c>
      <c r="D165" s="5">
        <v>0.39583333333333331</v>
      </c>
      <c r="E165" s="5">
        <v>0.47916666666666669</v>
      </c>
      <c r="F165" s="2" t="s">
        <v>9</v>
      </c>
      <c r="G165" s="2" t="s">
        <v>10</v>
      </c>
      <c r="H165" s="2" t="s">
        <v>298</v>
      </c>
      <c r="I165" s="2" t="s">
        <v>299</v>
      </c>
      <c r="J165" s="2">
        <v>104959</v>
      </c>
      <c r="K165" s="2" t="s">
        <v>300</v>
      </c>
      <c r="L165" s="2" t="s">
        <v>14</v>
      </c>
      <c r="M165" t="str">
        <f>K165 &amp; " " &amp; I165</f>
        <v>Espinasse Karl</v>
      </c>
      <c r="Q165" t="str">
        <f t="shared" si="16"/>
        <v>104959kespinasse</v>
      </c>
    </row>
    <row r="166" spans="1:17" hidden="1" x14ac:dyDescent="0.4">
      <c r="A166">
        <v>196</v>
      </c>
      <c r="B166" s="2"/>
      <c r="C166" s="4">
        <v>45909</v>
      </c>
      <c r="D166" s="5">
        <v>0.39583333333333331</v>
      </c>
      <c r="E166" s="5">
        <v>0.47916666666666669</v>
      </c>
      <c r="F166" s="2" t="s">
        <v>9</v>
      </c>
      <c r="G166" s="2" t="s">
        <v>10</v>
      </c>
      <c r="H166" s="2" t="s">
        <v>320</v>
      </c>
      <c r="I166" s="2" t="s">
        <v>321</v>
      </c>
      <c r="J166" s="2">
        <v>104959</v>
      </c>
      <c r="K166" s="2" t="s">
        <v>322</v>
      </c>
      <c r="L166" s="2" t="s">
        <v>18</v>
      </c>
      <c r="M166" t="str">
        <f>I166 &amp; " " &amp; K166</f>
        <v>Lydie Exbrayat</v>
      </c>
      <c r="Q166" t="str">
        <f t="shared" si="16"/>
        <v>104959lexbrayat</v>
      </c>
    </row>
    <row r="167" spans="1:17" hidden="1" x14ac:dyDescent="0.4">
      <c r="A167">
        <v>197</v>
      </c>
      <c r="B167" s="2"/>
      <c r="C167" s="4">
        <v>45908</v>
      </c>
      <c r="D167" s="5">
        <v>0.66666666666666663</v>
      </c>
      <c r="E167" s="5">
        <v>0.72916666666666663</v>
      </c>
      <c r="F167" s="2" t="s">
        <v>9</v>
      </c>
      <c r="G167" s="2" t="s">
        <v>10</v>
      </c>
      <c r="H167" s="2" t="s">
        <v>269</v>
      </c>
      <c r="I167" s="2" t="s">
        <v>270</v>
      </c>
      <c r="J167" s="2">
        <v>104855</v>
      </c>
      <c r="K167" s="2" t="s">
        <v>271</v>
      </c>
      <c r="L167" s="2" t="s">
        <v>18</v>
      </c>
      <c r="M167" t="str">
        <f t="shared" ref="M167:M182" si="17">K167 &amp; " " &amp; I167</f>
        <v>Charles Jonas</v>
      </c>
      <c r="Q167" t="str">
        <f t="shared" si="16"/>
        <v>104855jcharles2</v>
      </c>
    </row>
    <row r="168" spans="1:17" hidden="1" x14ac:dyDescent="0.4">
      <c r="A168">
        <v>199</v>
      </c>
      <c r="B168" s="2"/>
      <c r="C168" s="4">
        <v>45908</v>
      </c>
      <c r="D168" s="5">
        <v>0.58333333333333337</v>
      </c>
      <c r="E168" s="5">
        <v>0.64583333333333337</v>
      </c>
      <c r="F168" s="2" t="s">
        <v>9</v>
      </c>
      <c r="G168" s="2" t="s">
        <v>10</v>
      </c>
      <c r="H168" s="2" t="s">
        <v>269</v>
      </c>
      <c r="I168" s="2" t="s">
        <v>270</v>
      </c>
      <c r="J168" s="2">
        <v>104551</v>
      </c>
      <c r="K168" s="2" t="s">
        <v>271</v>
      </c>
      <c r="L168" s="2" t="s">
        <v>18</v>
      </c>
      <c r="M168" t="str">
        <f t="shared" si="17"/>
        <v>Charles Jonas</v>
      </c>
      <c r="Q168" t="str">
        <f t="shared" si="16"/>
        <v>104551jcharles2</v>
      </c>
    </row>
    <row r="169" spans="1:17" hidden="1" x14ac:dyDescent="0.4">
      <c r="A169">
        <v>200</v>
      </c>
      <c r="B169" s="2"/>
      <c r="C169" s="4">
        <v>45908</v>
      </c>
      <c r="D169" s="5">
        <v>0.47916666666666669</v>
      </c>
      <c r="E169" s="5">
        <v>0.54166666666666663</v>
      </c>
      <c r="F169" s="2" t="s">
        <v>9</v>
      </c>
      <c r="G169" s="2" t="s">
        <v>10</v>
      </c>
      <c r="H169" s="2" t="s">
        <v>269</v>
      </c>
      <c r="I169" s="2" t="s">
        <v>270</v>
      </c>
      <c r="J169" s="2">
        <v>104550</v>
      </c>
      <c r="K169" s="2" t="s">
        <v>271</v>
      </c>
      <c r="L169" s="2" t="s">
        <v>14</v>
      </c>
      <c r="M169" t="str">
        <f t="shared" si="17"/>
        <v>Charles Jonas</v>
      </c>
      <c r="Q169" t="str">
        <f t="shared" si="16"/>
        <v>104550jcharles2</v>
      </c>
    </row>
    <row r="170" spans="1:17" hidden="1" x14ac:dyDescent="0.4">
      <c r="A170">
        <v>201</v>
      </c>
      <c r="B170" s="2"/>
      <c r="C170" s="4">
        <v>45908</v>
      </c>
      <c r="D170" s="5">
        <v>0.375</v>
      </c>
      <c r="E170" s="5">
        <v>0.4375</v>
      </c>
      <c r="F170" s="2" t="s">
        <v>9</v>
      </c>
      <c r="G170" s="2" t="s">
        <v>10</v>
      </c>
      <c r="H170" s="2" t="s">
        <v>269</v>
      </c>
      <c r="I170" s="2" t="s">
        <v>270</v>
      </c>
      <c r="J170" s="2">
        <v>102916</v>
      </c>
      <c r="K170" s="2" t="s">
        <v>271</v>
      </c>
      <c r="L170" s="2" t="s">
        <v>14</v>
      </c>
      <c r="M170" t="str">
        <f t="shared" si="17"/>
        <v>Charles Jonas</v>
      </c>
      <c r="Q170" t="str">
        <f t="shared" si="16"/>
        <v>102916jcharles2</v>
      </c>
    </row>
    <row r="171" spans="1:17" hidden="1" x14ac:dyDescent="0.4">
      <c r="A171">
        <v>202</v>
      </c>
      <c r="B171" s="2"/>
      <c r="C171" s="4">
        <v>45909</v>
      </c>
      <c r="D171" s="5">
        <v>0.39583333333333331</v>
      </c>
      <c r="E171" s="5">
        <v>0.47916666666666669</v>
      </c>
      <c r="F171" s="2" t="s">
        <v>9</v>
      </c>
      <c r="G171" s="2" t="s">
        <v>10</v>
      </c>
      <c r="H171" s="2" t="s">
        <v>465</v>
      </c>
      <c r="I171" s="2" t="s">
        <v>466</v>
      </c>
      <c r="J171" s="2">
        <v>104959</v>
      </c>
      <c r="K171" s="2" t="s">
        <v>467</v>
      </c>
      <c r="L171" s="2" t="s">
        <v>14</v>
      </c>
      <c r="M171" t="str">
        <f t="shared" si="17"/>
        <v>Faget Pierre</v>
      </c>
      <c r="Q171" t="str">
        <f t="shared" si="16"/>
        <v>104959pfaget</v>
      </c>
    </row>
    <row r="172" spans="1:17" hidden="1" x14ac:dyDescent="0.4">
      <c r="A172">
        <v>203</v>
      </c>
      <c r="B172" s="2"/>
      <c r="C172" s="4">
        <v>45909</v>
      </c>
      <c r="D172" s="5">
        <v>0.39583333333333331</v>
      </c>
      <c r="E172" s="5">
        <v>0.47916666666666669</v>
      </c>
      <c r="F172" s="2" t="s">
        <v>9</v>
      </c>
      <c r="G172" s="2" t="s">
        <v>10</v>
      </c>
      <c r="H172" s="2" t="s">
        <v>278</v>
      </c>
      <c r="I172" s="2" t="s">
        <v>279</v>
      </c>
      <c r="J172" s="2">
        <v>104959</v>
      </c>
      <c r="K172" s="2" t="s">
        <v>280</v>
      </c>
      <c r="L172" s="2" t="s">
        <v>14</v>
      </c>
      <c r="M172" t="str">
        <f t="shared" si="17"/>
        <v>Famchon Jude</v>
      </c>
      <c r="Q172" t="str">
        <f t="shared" si="16"/>
        <v>104959jfamchon</v>
      </c>
    </row>
    <row r="173" spans="1:17" hidden="1" x14ac:dyDescent="0.4">
      <c r="A173">
        <v>205</v>
      </c>
      <c r="B173" s="2"/>
      <c r="C173" s="4">
        <v>45908</v>
      </c>
      <c r="D173" s="5">
        <v>0.66666666666666663</v>
      </c>
      <c r="E173" s="5">
        <v>0.72916666666666663</v>
      </c>
      <c r="F173" s="2" t="s">
        <v>9</v>
      </c>
      <c r="G173" s="2" t="s">
        <v>10</v>
      </c>
      <c r="H173" s="2" t="s">
        <v>577</v>
      </c>
      <c r="I173" s="2" t="s">
        <v>578</v>
      </c>
      <c r="J173" s="2">
        <v>104855</v>
      </c>
      <c r="K173" s="2" t="s">
        <v>579</v>
      </c>
      <c r="L173" s="2" t="s">
        <v>14</v>
      </c>
      <c r="M173" t="str">
        <f t="shared" si="17"/>
        <v>Chauvet Victor</v>
      </c>
      <c r="Q173" t="str">
        <f t="shared" si="16"/>
        <v>104855vchauvet</v>
      </c>
    </row>
    <row r="174" spans="1:17" hidden="1" x14ac:dyDescent="0.4">
      <c r="A174">
        <v>207</v>
      </c>
      <c r="B174" s="2"/>
      <c r="C174" s="4">
        <v>45908</v>
      </c>
      <c r="D174" s="5">
        <v>0.58333333333333337</v>
      </c>
      <c r="E174" s="5">
        <v>0.64583333333333337</v>
      </c>
      <c r="F174" s="2" t="s">
        <v>9</v>
      </c>
      <c r="G174" s="2" t="s">
        <v>10</v>
      </c>
      <c r="H174" s="2" t="s">
        <v>577</v>
      </c>
      <c r="I174" s="2" t="s">
        <v>578</v>
      </c>
      <c r="J174" s="2">
        <v>104551</v>
      </c>
      <c r="K174" s="2" t="s">
        <v>579</v>
      </c>
      <c r="L174" s="2" t="s">
        <v>18</v>
      </c>
      <c r="M174" t="str">
        <f t="shared" si="17"/>
        <v>Chauvet Victor</v>
      </c>
      <c r="Q174" t="str">
        <f t="shared" si="16"/>
        <v>104551vchauvet</v>
      </c>
    </row>
    <row r="175" spans="1:17" hidden="1" x14ac:dyDescent="0.4">
      <c r="A175">
        <v>208</v>
      </c>
      <c r="B175" s="2"/>
      <c r="C175" s="4">
        <v>45908</v>
      </c>
      <c r="D175" s="5">
        <v>0.47916666666666669</v>
      </c>
      <c r="E175" s="5">
        <v>0.54166666666666663</v>
      </c>
      <c r="F175" s="2" t="s">
        <v>9</v>
      </c>
      <c r="G175" s="2" t="s">
        <v>10</v>
      </c>
      <c r="H175" s="2" t="s">
        <v>577</v>
      </c>
      <c r="I175" s="2" t="s">
        <v>578</v>
      </c>
      <c r="J175" s="2">
        <v>104550</v>
      </c>
      <c r="K175" s="2" t="s">
        <v>579</v>
      </c>
      <c r="L175" s="2" t="s">
        <v>18</v>
      </c>
      <c r="M175" t="str">
        <f t="shared" si="17"/>
        <v>Chauvet Victor</v>
      </c>
      <c r="Q175" t="str">
        <f t="shared" si="16"/>
        <v>104550vchauvet</v>
      </c>
    </row>
    <row r="176" spans="1:17" hidden="1" x14ac:dyDescent="0.4">
      <c r="A176">
        <v>209</v>
      </c>
      <c r="B176" s="2"/>
      <c r="C176" s="4">
        <v>45908</v>
      </c>
      <c r="D176" s="5">
        <v>0.375</v>
      </c>
      <c r="E176" s="5">
        <v>0.4375</v>
      </c>
      <c r="F176" s="2" t="s">
        <v>9</v>
      </c>
      <c r="G176" s="2" t="s">
        <v>10</v>
      </c>
      <c r="H176" s="2" t="s">
        <v>577</v>
      </c>
      <c r="I176" s="2" t="s">
        <v>578</v>
      </c>
      <c r="J176" s="2">
        <v>102916</v>
      </c>
      <c r="K176" s="2" t="s">
        <v>579</v>
      </c>
      <c r="L176" s="2" t="s">
        <v>18</v>
      </c>
      <c r="M176" t="str">
        <f t="shared" si="17"/>
        <v>Chauvet Victor</v>
      </c>
      <c r="Q176" t="str">
        <f t="shared" si="16"/>
        <v>102916vchauvet</v>
      </c>
    </row>
    <row r="177" spans="1:17" hidden="1" x14ac:dyDescent="0.4">
      <c r="A177">
        <v>210</v>
      </c>
      <c r="B177" s="2"/>
      <c r="C177" s="4">
        <v>45909</v>
      </c>
      <c r="D177" s="5">
        <v>0.39583333333333331</v>
      </c>
      <c r="E177" s="5">
        <v>0.47916666666666669</v>
      </c>
      <c r="F177" s="2" t="s">
        <v>9</v>
      </c>
      <c r="G177" s="2" t="s">
        <v>10</v>
      </c>
      <c r="H177" s="2" t="s">
        <v>462</v>
      </c>
      <c r="I177" s="2" t="s">
        <v>463</v>
      </c>
      <c r="J177" s="2">
        <v>104959</v>
      </c>
      <c r="K177" s="2" t="s">
        <v>464</v>
      </c>
      <c r="L177" s="2" t="s">
        <v>14</v>
      </c>
      <c r="M177" t="str">
        <f t="shared" si="17"/>
        <v>Faye Pierre-Emmanuel</v>
      </c>
      <c r="Q177" t="str">
        <f t="shared" si="16"/>
        <v>104959pefaye</v>
      </c>
    </row>
    <row r="178" spans="1:17" hidden="1" x14ac:dyDescent="0.4">
      <c r="A178">
        <v>211</v>
      </c>
      <c r="B178" s="2"/>
      <c r="C178" s="4">
        <v>45909</v>
      </c>
      <c r="D178" s="5">
        <v>0.39583333333333331</v>
      </c>
      <c r="E178" s="5">
        <v>0.47916666666666669</v>
      </c>
      <c r="F178" s="2" t="s">
        <v>9</v>
      </c>
      <c r="G178" s="2" t="s">
        <v>10</v>
      </c>
      <c r="H178" s="2" t="s">
        <v>281</v>
      </c>
      <c r="I178" s="2" t="s">
        <v>282</v>
      </c>
      <c r="J178" s="2">
        <v>104959</v>
      </c>
      <c r="K178" s="2" t="s">
        <v>283</v>
      </c>
      <c r="L178" s="2" t="s">
        <v>14</v>
      </c>
      <c r="M178" t="str">
        <f t="shared" si="17"/>
        <v>Ferrer Moreno Jaume</v>
      </c>
      <c r="Q178" t="str">
        <f t="shared" si="16"/>
        <v>104959jferrer</v>
      </c>
    </row>
    <row r="179" spans="1:17" hidden="1" x14ac:dyDescent="0.4">
      <c r="A179">
        <v>212</v>
      </c>
      <c r="B179" s="2"/>
      <c r="C179" s="4">
        <v>45908</v>
      </c>
      <c r="D179" s="5">
        <v>0.66666666666666663</v>
      </c>
      <c r="E179" s="5">
        <v>0.72916666666666663</v>
      </c>
      <c r="F179" s="2" t="s">
        <v>9</v>
      </c>
      <c r="G179" s="2" t="s">
        <v>10</v>
      </c>
      <c r="H179" s="2" t="s">
        <v>317</v>
      </c>
      <c r="I179" s="2" t="s">
        <v>318</v>
      </c>
      <c r="J179" s="2">
        <v>104855</v>
      </c>
      <c r="K179" s="2" t="s">
        <v>319</v>
      </c>
      <c r="L179" s="2" t="s">
        <v>14</v>
      </c>
      <c r="M179" t="str">
        <f t="shared" si="17"/>
        <v>Chavanon Louise</v>
      </c>
      <c r="Q179" t="str">
        <f t="shared" si="16"/>
        <v>104855lchavanon</v>
      </c>
    </row>
    <row r="180" spans="1:17" hidden="1" x14ac:dyDescent="0.4">
      <c r="A180">
        <v>214</v>
      </c>
      <c r="B180" s="2"/>
      <c r="C180" s="4">
        <v>45908</v>
      </c>
      <c r="D180" s="5">
        <v>0.58333333333333337</v>
      </c>
      <c r="E180" s="5">
        <v>0.64583333333333337</v>
      </c>
      <c r="F180" s="2" t="s">
        <v>9</v>
      </c>
      <c r="G180" s="2" t="s">
        <v>10</v>
      </c>
      <c r="H180" s="2" t="s">
        <v>317</v>
      </c>
      <c r="I180" s="2" t="s">
        <v>318</v>
      </c>
      <c r="J180" s="2">
        <v>104551</v>
      </c>
      <c r="K180" s="2" t="s">
        <v>319</v>
      </c>
      <c r="L180" s="2" t="s">
        <v>18</v>
      </c>
      <c r="M180" t="str">
        <f t="shared" si="17"/>
        <v>Chavanon Louise</v>
      </c>
      <c r="Q180" t="str">
        <f t="shared" si="16"/>
        <v>104551lchavanon</v>
      </c>
    </row>
    <row r="181" spans="1:17" hidden="1" x14ac:dyDescent="0.4">
      <c r="A181">
        <v>215</v>
      </c>
      <c r="B181" s="2"/>
      <c r="C181" s="4">
        <v>45908</v>
      </c>
      <c r="D181" s="5">
        <v>0.47916666666666669</v>
      </c>
      <c r="E181" s="5">
        <v>0.54166666666666663</v>
      </c>
      <c r="F181" s="2" t="s">
        <v>9</v>
      </c>
      <c r="G181" s="2" t="s">
        <v>10</v>
      </c>
      <c r="H181" s="2" t="s">
        <v>317</v>
      </c>
      <c r="I181" s="2" t="s">
        <v>318</v>
      </c>
      <c r="J181" s="2">
        <v>104550</v>
      </c>
      <c r="K181" s="2" t="s">
        <v>319</v>
      </c>
      <c r="L181" s="2" t="s">
        <v>14</v>
      </c>
      <c r="M181" t="str">
        <f t="shared" si="17"/>
        <v>Chavanon Louise</v>
      </c>
      <c r="Q181" t="str">
        <f t="shared" si="16"/>
        <v>104550lchavanon</v>
      </c>
    </row>
    <row r="182" spans="1:17" hidden="1" x14ac:dyDescent="0.4">
      <c r="A182">
        <v>216</v>
      </c>
      <c r="B182" s="2"/>
      <c r="C182" s="4">
        <v>45908</v>
      </c>
      <c r="D182" s="5">
        <v>0.375</v>
      </c>
      <c r="E182" s="5">
        <v>0.4375</v>
      </c>
      <c r="F182" s="2" t="s">
        <v>9</v>
      </c>
      <c r="G182" s="2" t="s">
        <v>10</v>
      </c>
      <c r="H182" s="2" t="s">
        <v>317</v>
      </c>
      <c r="I182" s="2" t="s">
        <v>318</v>
      </c>
      <c r="J182" s="2">
        <v>102916</v>
      </c>
      <c r="K182" s="2" t="s">
        <v>319</v>
      </c>
      <c r="L182" s="2" t="s">
        <v>14</v>
      </c>
      <c r="M182" t="str">
        <f t="shared" si="17"/>
        <v>Chavanon Louise</v>
      </c>
      <c r="Q182" t="str">
        <f t="shared" si="16"/>
        <v>102916lchavanon</v>
      </c>
    </row>
    <row r="183" spans="1:17" hidden="1" x14ac:dyDescent="0.4">
      <c r="A183">
        <v>217</v>
      </c>
      <c r="B183" s="2"/>
      <c r="C183" s="4">
        <v>45909</v>
      </c>
      <c r="D183" s="5">
        <v>0.39583333333333331</v>
      </c>
      <c r="E183" s="5">
        <v>0.47916666666666669</v>
      </c>
      <c r="F183" s="2" t="s">
        <v>9</v>
      </c>
      <c r="G183" s="2" t="s">
        <v>10</v>
      </c>
      <c r="H183" s="2" t="s">
        <v>215</v>
      </c>
      <c r="I183" s="2" t="s">
        <v>210</v>
      </c>
      <c r="J183" s="2">
        <v>104959</v>
      </c>
      <c r="K183" s="2" t="s">
        <v>216</v>
      </c>
      <c r="L183" s="2" t="s">
        <v>18</v>
      </c>
      <c r="M183" t="str">
        <f>I183 &amp; " " &amp; K183</f>
        <v>Garance Gabel</v>
      </c>
      <c r="Q183" t="str">
        <f t="shared" si="16"/>
        <v>104959ggabel</v>
      </c>
    </row>
    <row r="184" spans="1:17" hidden="1" x14ac:dyDescent="0.4">
      <c r="A184">
        <v>218</v>
      </c>
      <c r="B184" s="2"/>
      <c r="C184" s="4">
        <v>45909</v>
      </c>
      <c r="D184" s="5">
        <v>0.39583333333333331</v>
      </c>
      <c r="E184" s="5">
        <v>0.47916666666666669</v>
      </c>
      <c r="F184" s="2" t="s">
        <v>9</v>
      </c>
      <c r="G184" s="2" t="s">
        <v>10</v>
      </c>
      <c r="H184" s="2" t="s">
        <v>588</v>
      </c>
      <c r="I184" s="2" t="s">
        <v>578</v>
      </c>
      <c r="J184" s="2">
        <v>104959</v>
      </c>
      <c r="K184" s="2" t="s">
        <v>589</v>
      </c>
      <c r="L184" s="2" t="s">
        <v>18</v>
      </c>
      <c r="M184" t="str">
        <f>I184 &amp; " " &amp; K184</f>
        <v>Victor Gadin</v>
      </c>
      <c r="Q184" t="str">
        <f t="shared" si="16"/>
        <v>104959vgadin</v>
      </c>
    </row>
    <row r="185" spans="1:17" hidden="1" x14ac:dyDescent="0.4">
      <c r="A185">
        <v>219</v>
      </c>
      <c r="B185" s="2"/>
      <c r="C185" s="4">
        <v>45908</v>
      </c>
      <c r="D185" s="5">
        <v>0.66666666666666663</v>
      </c>
      <c r="E185" s="5">
        <v>0.72916666666666663</v>
      </c>
      <c r="F185" s="2" t="s">
        <v>9</v>
      </c>
      <c r="G185" s="2" t="s">
        <v>10</v>
      </c>
      <c r="H185" s="2" t="s">
        <v>131</v>
      </c>
      <c r="I185" s="2" t="s">
        <v>132</v>
      </c>
      <c r="J185" s="2">
        <v>104855</v>
      </c>
      <c r="K185" s="2" t="s">
        <v>133</v>
      </c>
      <c r="L185" s="2" t="s">
        <v>18</v>
      </c>
      <c r="M185" t="str">
        <f>I185 &amp; " " &amp; K185</f>
        <v>Dylan Choisi</v>
      </c>
      <c r="Q185" t="str">
        <f t="shared" si="16"/>
        <v>104855dchoisi</v>
      </c>
    </row>
    <row r="186" spans="1:17" hidden="1" x14ac:dyDescent="0.4">
      <c r="A186">
        <v>221</v>
      </c>
      <c r="B186" s="2"/>
      <c r="C186" s="4">
        <v>45908</v>
      </c>
      <c r="D186" s="5">
        <v>0.58333333333333337</v>
      </c>
      <c r="E186" s="5">
        <v>0.64583333333333337</v>
      </c>
      <c r="F186" s="2" t="s">
        <v>9</v>
      </c>
      <c r="G186" s="2" t="s">
        <v>10</v>
      </c>
      <c r="H186" s="2" t="s">
        <v>131</v>
      </c>
      <c r="I186" s="2" t="s">
        <v>132</v>
      </c>
      <c r="J186" s="2">
        <v>104551</v>
      </c>
      <c r="K186" s="2" t="s">
        <v>133</v>
      </c>
      <c r="L186" s="2" t="s">
        <v>18</v>
      </c>
      <c r="M186" t="str">
        <f>I186 &amp; " " &amp; K186</f>
        <v>Dylan Choisi</v>
      </c>
      <c r="Q186" t="str">
        <f t="shared" si="16"/>
        <v>104551dchoisi</v>
      </c>
    </row>
    <row r="187" spans="1:17" hidden="1" x14ac:dyDescent="0.4">
      <c r="A187">
        <v>222</v>
      </c>
      <c r="B187" s="2"/>
      <c r="C187" s="4">
        <v>45908</v>
      </c>
      <c r="D187" s="5">
        <v>0.47916666666666669</v>
      </c>
      <c r="E187" s="5">
        <v>0.54166666666666663</v>
      </c>
      <c r="F187" s="2" t="s">
        <v>9</v>
      </c>
      <c r="G187" s="2" t="s">
        <v>10</v>
      </c>
      <c r="H187" s="2" t="s">
        <v>131</v>
      </c>
      <c r="I187" s="2" t="s">
        <v>132</v>
      </c>
      <c r="J187" s="2">
        <v>104550</v>
      </c>
      <c r="K187" s="2" t="s">
        <v>133</v>
      </c>
      <c r="L187" s="2" t="s">
        <v>18</v>
      </c>
      <c r="M187" t="str">
        <f>K187 &amp; " " &amp; I187</f>
        <v>Choisi Dylan</v>
      </c>
      <c r="Q187" t="str">
        <f t="shared" si="16"/>
        <v>104550dchoisi</v>
      </c>
    </row>
    <row r="188" spans="1:17" hidden="1" x14ac:dyDescent="0.4">
      <c r="A188">
        <v>223</v>
      </c>
      <c r="B188" s="2"/>
      <c r="C188" s="4">
        <v>45908</v>
      </c>
      <c r="D188" s="5">
        <v>0.375</v>
      </c>
      <c r="E188" s="5">
        <v>0.4375</v>
      </c>
      <c r="F188" s="2" t="s">
        <v>9</v>
      </c>
      <c r="G188" s="2" t="s">
        <v>10</v>
      </c>
      <c r="H188" s="2" t="s">
        <v>131</v>
      </c>
      <c r="I188" s="2" t="s">
        <v>132</v>
      </c>
      <c r="J188" s="2">
        <v>102916</v>
      </c>
      <c r="K188" s="2" t="s">
        <v>133</v>
      </c>
      <c r="L188" s="2" t="s">
        <v>18</v>
      </c>
      <c r="M188" t="str">
        <f>K188 &amp; " " &amp; I188</f>
        <v>Choisi Dylan</v>
      </c>
      <c r="Q188" t="str">
        <f t="shared" si="16"/>
        <v>102916dchoisi</v>
      </c>
    </row>
    <row r="189" spans="1:17" hidden="1" x14ac:dyDescent="0.4">
      <c r="A189">
        <v>224</v>
      </c>
      <c r="B189" s="2"/>
      <c r="C189" s="4">
        <v>45909</v>
      </c>
      <c r="D189" s="5">
        <v>0.39583333333333331</v>
      </c>
      <c r="E189" s="5">
        <v>0.47916666666666669</v>
      </c>
      <c r="F189" s="2" t="s">
        <v>9</v>
      </c>
      <c r="G189" s="2" t="s">
        <v>10</v>
      </c>
      <c r="H189" s="2" t="s">
        <v>62</v>
      </c>
      <c r="I189" s="2" t="s">
        <v>63</v>
      </c>
      <c r="J189" s="2">
        <v>104959</v>
      </c>
      <c r="K189" s="2" t="s">
        <v>64</v>
      </c>
      <c r="L189" s="2" t="s">
        <v>18</v>
      </c>
      <c r="M189" t="str">
        <f>I189 &amp; " " &amp; K189</f>
        <v>Adèle, Lili, Violette Galichet</v>
      </c>
      <c r="Q189" t="str">
        <f t="shared" si="16"/>
        <v>104959alvgalichet</v>
      </c>
    </row>
    <row r="190" spans="1:17" hidden="1" x14ac:dyDescent="0.4">
      <c r="A190">
        <v>225</v>
      </c>
      <c r="B190" s="2"/>
      <c r="C190" s="4">
        <v>45909</v>
      </c>
      <c r="D190" s="5">
        <v>0.39583333333333331</v>
      </c>
      <c r="E190" s="5">
        <v>0.47916666666666669</v>
      </c>
      <c r="F190" s="2" t="s">
        <v>9</v>
      </c>
      <c r="G190" s="2" t="s">
        <v>10</v>
      </c>
      <c r="H190" s="2" t="s">
        <v>488</v>
      </c>
      <c r="I190" s="2" t="s">
        <v>489</v>
      </c>
      <c r="J190" s="2">
        <v>104959</v>
      </c>
      <c r="K190" s="2" t="s">
        <v>490</v>
      </c>
      <c r="L190" s="2" t="s">
        <v>14</v>
      </c>
      <c r="M190" t="str">
        <f>K190 &amp; " " &amp; I190</f>
        <v>Gatti Rudy</v>
      </c>
      <c r="Q190" t="str">
        <f t="shared" si="16"/>
        <v>104959rgatti</v>
      </c>
    </row>
    <row r="191" spans="1:17" hidden="1" x14ac:dyDescent="0.4">
      <c r="A191">
        <v>226</v>
      </c>
      <c r="B191" s="2"/>
      <c r="C191" s="4">
        <v>45908</v>
      </c>
      <c r="D191" s="5">
        <v>0.66666666666666663</v>
      </c>
      <c r="E191" s="5">
        <v>0.72916666666666663</v>
      </c>
      <c r="F191" s="2" t="s">
        <v>9</v>
      </c>
      <c r="G191" s="2" t="s">
        <v>10</v>
      </c>
      <c r="H191" s="2" t="s">
        <v>25</v>
      </c>
      <c r="I191" s="2" t="s">
        <v>12</v>
      </c>
      <c r="J191" s="2">
        <v>104855</v>
      </c>
      <c r="K191" s="2" t="s">
        <v>26</v>
      </c>
      <c r="L191" s="2" t="s">
        <v>18</v>
      </c>
      <c r="M191" t="str">
        <f>K191 &amp; " " &amp; I191</f>
        <v>Christophe Antonin</v>
      </c>
      <c r="Q191" t="str">
        <f t="shared" si="16"/>
        <v>104855achristophe1</v>
      </c>
    </row>
    <row r="192" spans="1:17" hidden="1" x14ac:dyDescent="0.4">
      <c r="A192">
        <v>228</v>
      </c>
      <c r="B192" s="2"/>
      <c r="C192" s="4">
        <v>45908</v>
      </c>
      <c r="D192" s="5">
        <v>0.58333333333333337</v>
      </c>
      <c r="E192" s="5">
        <v>0.64583333333333337</v>
      </c>
      <c r="F192" s="2" t="s">
        <v>9</v>
      </c>
      <c r="G192" s="2" t="s">
        <v>10</v>
      </c>
      <c r="H192" s="2" t="s">
        <v>25</v>
      </c>
      <c r="I192" s="2" t="s">
        <v>12</v>
      </c>
      <c r="J192" s="2">
        <v>104551</v>
      </c>
      <c r="K192" s="2" t="s">
        <v>26</v>
      </c>
      <c r="L192" s="2" t="s">
        <v>18</v>
      </c>
      <c r="M192" t="str">
        <f>K192 &amp; " " &amp; I192</f>
        <v>Christophe Antonin</v>
      </c>
      <c r="Q192" t="str">
        <f t="shared" si="16"/>
        <v>104551achristophe1</v>
      </c>
    </row>
    <row r="193" spans="1:17" hidden="1" x14ac:dyDescent="0.4">
      <c r="A193">
        <v>229</v>
      </c>
      <c r="B193" s="2"/>
      <c r="C193" s="4">
        <v>45908</v>
      </c>
      <c r="D193" s="5">
        <v>0.47916666666666669</v>
      </c>
      <c r="E193" s="5">
        <v>0.54166666666666663</v>
      </c>
      <c r="F193" s="2" t="s">
        <v>9</v>
      </c>
      <c r="G193" s="2" t="s">
        <v>10</v>
      </c>
      <c r="H193" s="2" t="s">
        <v>25</v>
      </c>
      <c r="I193" s="2" t="s">
        <v>12</v>
      </c>
      <c r="J193" s="2">
        <v>104550</v>
      </c>
      <c r="K193" s="2" t="s">
        <v>26</v>
      </c>
      <c r="L193" s="2" t="s">
        <v>18</v>
      </c>
      <c r="M193" t="str">
        <f>I193 &amp; " " &amp; K193</f>
        <v>Antonin Christophe</v>
      </c>
      <c r="Q193" t="str">
        <f t="shared" si="16"/>
        <v>104550achristophe1</v>
      </c>
    </row>
    <row r="194" spans="1:17" hidden="1" x14ac:dyDescent="0.4">
      <c r="A194">
        <v>230</v>
      </c>
      <c r="B194" s="2"/>
      <c r="C194" s="4">
        <v>45908</v>
      </c>
      <c r="D194" s="5">
        <v>0.375</v>
      </c>
      <c r="E194" s="5">
        <v>0.4375</v>
      </c>
      <c r="F194" s="2" t="s">
        <v>9</v>
      </c>
      <c r="G194" s="2" t="s">
        <v>10</v>
      </c>
      <c r="H194" s="2" t="s">
        <v>25</v>
      </c>
      <c r="I194" s="2" t="s">
        <v>12</v>
      </c>
      <c r="J194" s="2">
        <v>102916</v>
      </c>
      <c r="K194" s="2" t="s">
        <v>26</v>
      </c>
      <c r="L194" s="2" t="s">
        <v>18</v>
      </c>
      <c r="M194" t="str">
        <f>K194 &amp; " " &amp; I194</f>
        <v>Christophe Antonin</v>
      </c>
      <c r="Q194" t="str">
        <f t="shared" si="16"/>
        <v>102916achristophe1</v>
      </c>
    </row>
    <row r="195" spans="1:17" hidden="1" x14ac:dyDescent="0.4">
      <c r="A195">
        <v>231</v>
      </c>
      <c r="B195" s="2"/>
      <c r="C195" s="4">
        <v>45909</v>
      </c>
      <c r="D195" s="5">
        <v>0.39583333333333331</v>
      </c>
      <c r="E195" s="5">
        <v>0.47916666666666669</v>
      </c>
      <c r="F195" s="2" t="s">
        <v>9</v>
      </c>
      <c r="G195" s="2" t="s">
        <v>10</v>
      </c>
      <c r="H195" s="2" t="s">
        <v>42</v>
      </c>
      <c r="I195" s="2" t="s">
        <v>43</v>
      </c>
      <c r="J195" s="2">
        <v>104959</v>
      </c>
      <c r="K195" s="2" t="s">
        <v>44</v>
      </c>
      <c r="L195" s="2" t="s">
        <v>14</v>
      </c>
      <c r="M195" t="str">
        <f>K195 &amp; " " &amp; I195</f>
        <v>Gautier Arthur</v>
      </c>
      <c r="Q195" t="str">
        <f t="shared" si="16"/>
        <v>104959agautier</v>
      </c>
    </row>
    <row r="196" spans="1:17" hidden="1" x14ac:dyDescent="0.4">
      <c r="A196">
        <v>232</v>
      </c>
      <c r="B196" s="2"/>
      <c r="C196" s="4">
        <v>45909</v>
      </c>
      <c r="D196" s="5">
        <v>0.39583333333333331</v>
      </c>
      <c r="E196" s="5">
        <v>0.47916666666666669</v>
      </c>
      <c r="F196" s="2" t="s">
        <v>9</v>
      </c>
      <c r="G196" s="2" t="s">
        <v>10</v>
      </c>
      <c r="H196" s="2" t="s">
        <v>468</v>
      </c>
      <c r="I196" s="2" t="s">
        <v>469</v>
      </c>
      <c r="J196" s="2">
        <v>104959</v>
      </c>
      <c r="K196" s="2" t="s">
        <v>470</v>
      </c>
      <c r="L196" s="2" t="s">
        <v>18</v>
      </c>
      <c r="M196" t="str">
        <f>I196 &amp; " " &amp; K196</f>
        <v>Paul Germanaz</v>
      </c>
      <c r="Q196" t="str">
        <f t="shared" si="16"/>
        <v>104959pgermanaz</v>
      </c>
    </row>
    <row r="197" spans="1:17" hidden="1" x14ac:dyDescent="0.4">
      <c r="A197">
        <v>233</v>
      </c>
      <c r="B197" s="2"/>
      <c r="C197" s="4">
        <v>45908</v>
      </c>
      <c r="D197" s="5">
        <v>0.66666666666666663</v>
      </c>
      <c r="E197" s="5">
        <v>0.72916666666666663</v>
      </c>
      <c r="F197" s="2" t="s">
        <v>9</v>
      </c>
      <c r="G197" s="2" t="s">
        <v>10</v>
      </c>
      <c r="H197" s="2" t="s">
        <v>511</v>
      </c>
      <c r="I197" s="2" t="s">
        <v>512</v>
      </c>
      <c r="J197" s="2">
        <v>104855</v>
      </c>
      <c r="K197" s="2" t="s">
        <v>513</v>
      </c>
      <c r="L197" s="2" t="s">
        <v>18</v>
      </c>
      <c r="M197" t="str">
        <f>K197 &amp; " " &amp; I197</f>
        <v>Cohen Shaïna</v>
      </c>
      <c r="Q197" t="str">
        <f t="shared" si="16"/>
        <v>104855scohen</v>
      </c>
    </row>
    <row r="198" spans="1:17" hidden="1" x14ac:dyDescent="0.4">
      <c r="A198">
        <v>235</v>
      </c>
      <c r="B198" s="2"/>
      <c r="C198" s="4">
        <v>45908</v>
      </c>
      <c r="D198" s="5">
        <v>0.58333333333333337</v>
      </c>
      <c r="E198" s="5">
        <v>0.64583333333333337</v>
      </c>
      <c r="F198" s="2" t="s">
        <v>9</v>
      </c>
      <c r="G198" s="2" t="s">
        <v>10</v>
      </c>
      <c r="H198" s="2" t="s">
        <v>511</v>
      </c>
      <c r="I198" s="2" t="s">
        <v>512</v>
      </c>
      <c r="J198" s="2">
        <v>104551</v>
      </c>
      <c r="K198" s="2" t="s">
        <v>513</v>
      </c>
      <c r="L198" s="2" t="s">
        <v>14</v>
      </c>
      <c r="M198" t="str">
        <f>K198 &amp; " " &amp; I198</f>
        <v>Cohen Shaïna</v>
      </c>
      <c r="Q198" t="str">
        <f t="shared" si="16"/>
        <v>104551scohen</v>
      </c>
    </row>
    <row r="199" spans="1:17" hidden="1" x14ac:dyDescent="0.4">
      <c r="A199">
        <v>236</v>
      </c>
      <c r="B199" s="2"/>
      <c r="C199" s="4">
        <v>45908</v>
      </c>
      <c r="D199" s="5">
        <v>0.47916666666666669</v>
      </c>
      <c r="E199" s="5">
        <v>0.54166666666666663</v>
      </c>
      <c r="F199" s="2" t="s">
        <v>9</v>
      </c>
      <c r="G199" s="2" t="s">
        <v>10</v>
      </c>
      <c r="H199" s="2" t="s">
        <v>511</v>
      </c>
      <c r="I199" s="2" t="s">
        <v>512</v>
      </c>
      <c r="J199" s="2">
        <v>104550</v>
      </c>
      <c r="K199" s="2" t="s">
        <v>513</v>
      </c>
      <c r="L199" s="2" t="s">
        <v>18</v>
      </c>
      <c r="M199" t="str">
        <f>K199 &amp; " " &amp; I199</f>
        <v>Cohen Shaïna</v>
      </c>
      <c r="Q199" t="str">
        <f t="shared" si="16"/>
        <v>104550scohen</v>
      </c>
    </row>
    <row r="200" spans="1:17" hidden="1" x14ac:dyDescent="0.4">
      <c r="A200">
        <v>237</v>
      </c>
      <c r="B200" s="2"/>
      <c r="C200" s="4">
        <v>45908</v>
      </c>
      <c r="D200" s="5">
        <v>0.375</v>
      </c>
      <c r="E200" s="5">
        <v>0.4375</v>
      </c>
      <c r="F200" s="2" t="s">
        <v>9</v>
      </c>
      <c r="G200" s="2" t="s">
        <v>10</v>
      </c>
      <c r="H200" s="2" t="s">
        <v>511</v>
      </c>
      <c r="I200" s="2" t="s">
        <v>512</v>
      </c>
      <c r="J200" s="2">
        <v>102916</v>
      </c>
      <c r="K200" s="2" t="s">
        <v>513</v>
      </c>
      <c r="L200" s="2" t="s">
        <v>18</v>
      </c>
      <c r="M200" t="str">
        <f>K200 &amp; " " &amp; I200</f>
        <v>Cohen Shaïna</v>
      </c>
      <c r="Q200" t="str">
        <f t="shared" si="16"/>
        <v>102916scohen</v>
      </c>
    </row>
    <row r="201" spans="1:17" hidden="1" x14ac:dyDescent="0.4">
      <c r="A201">
        <v>238</v>
      </c>
      <c r="B201" s="2"/>
      <c r="C201" s="4">
        <v>45909</v>
      </c>
      <c r="D201" s="5">
        <v>0.39583333333333331</v>
      </c>
      <c r="E201" s="5">
        <v>0.47916666666666669</v>
      </c>
      <c r="F201" s="2" t="s">
        <v>9</v>
      </c>
      <c r="G201" s="2" t="s">
        <v>10</v>
      </c>
      <c r="H201" s="2" t="s">
        <v>607</v>
      </c>
      <c r="I201" s="2" t="s">
        <v>608</v>
      </c>
      <c r="J201" s="2">
        <v>104959</v>
      </c>
      <c r="K201" s="2" t="s">
        <v>609</v>
      </c>
      <c r="L201" s="2" t="s">
        <v>18</v>
      </c>
      <c r="M201" t="str">
        <f t="shared" ref="M201:M207" si="18">I201 &amp; " " &amp; K201</f>
        <v>Zéphyr Gogris</v>
      </c>
      <c r="Q201" t="str">
        <f t="shared" si="16"/>
        <v>104959zgogris</v>
      </c>
    </row>
    <row r="202" spans="1:17" hidden="1" x14ac:dyDescent="0.4">
      <c r="A202">
        <v>239</v>
      </c>
      <c r="B202" s="2"/>
      <c r="C202" s="4">
        <v>45909</v>
      </c>
      <c r="D202" s="5">
        <v>0.39583333333333331</v>
      </c>
      <c r="E202" s="5">
        <v>0.47916666666666669</v>
      </c>
      <c r="F202" s="2" t="s">
        <v>9</v>
      </c>
      <c r="G202" s="2" t="s">
        <v>10</v>
      </c>
      <c r="H202" s="2" t="s">
        <v>598</v>
      </c>
      <c r="I202" s="2" t="s">
        <v>599</v>
      </c>
      <c r="J202" s="2">
        <v>104959</v>
      </c>
      <c r="K202" s="2" t="s">
        <v>600</v>
      </c>
      <c r="L202" s="2" t="s">
        <v>18</v>
      </c>
      <c r="M202" t="str">
        <f t="shared" si="18"/>
        <v>Yuko Gomi</v>
      </c>
      <c r="Q202" t="str">
        <f t="shared" si="16"/>
        <v>104959ygomi</v>
      </c>
    </row>
    <row r="203" spans="1:17" hidden="1" x14ac:dyDescent="0.4">
      <c r="A203">
        <v>240</v>
      </c>
      <c r="B203" s="2"/>
      <c r="C203" s="4">
        <v>45908</v>
      </c>
      <c r="D203" s="5">
        <v>0.66666666666666663</v>
      </c>
      <c r="E203" s="5">
        <v>0.72916666666666663</v>
      </c>
      <c r="F203" s="2" t="s">
        <v>9</v>
      </c>
      <c r="G203" s="2" t="s">
        <v>10</v>
      </c>
      <c r="H203" s="2" t="s">
        <v>482</v>
      </c>
      <c r="I203" s="2" t="s">
        <v>483</v>
      </c>
      <c r="J203" s="2">
        <v>104855</v>
      </c>
      <c r="K203" s="2" t="s">
        <v>484</v>
      </c>
      <c r="L203" s="2" t="s">
        <v>18</v>
      </c>
      <c r="M203" t="str">
        <f t="shared" si="18"/>
        <v>Raphaël Cohen-Akenine</v>
      </c>
      <c r="Q203" t="str">
        <f t="shared" si="16"/>
        <v>104855rcohenakenine</v>
      </c>
    </row>
    <row r="204" spans="1:17" hidden="1" x14ac:dyDescent="0.4">
      <c r="A204">
        <v>242</v>
      </c>
      <c r="B204" s="2"/>
      <c r="C204" s="4">
        <v>45908</v>
      </c>
      <c r="D204" s="5">
        <v>0.58333333333333337</v>
      </c>
      <c r="E204" s="5">
        <v>0.64583333333333337</v>
      </c>
      <c r="F204" s="2" t="s">
        <v>9</v>
      </c>
      <c r="G204" s="2" t="s">
        <v>10</v>
      </c>
      <c r="H204" s="2" t="s">
        <v>482</v>
      </c>
      <c r="I204" s="2" t="s">
        <v>483</v>
      </c>
      <c r="J204" s="2">
        <v>104551</v>
      </c>
      <c r="K204" s="2" t="s">
        <v>484</v>
      </c>
      <c r="L204" s="2" t="s">
        <v>18</v>
      </c>
      <c r="M204" t="str">
        <f t="shared" si="18"/>
        <v>Raphaël Cohen-Akenine</v>
      </c>
      <c r="Q204" t="str">
        <f t="shared" si="16"/>
        <v>104551rcohenakenine</v>
      </c>
    </row>
    <row r="205" spans="1:17" hidden="1" x14ac:dyDescent="0.4">
      <c r="A205">
        <v>243</v>
      </c>
      <c r="B205" s="2"/>
      <c r="C205" s="4">
        <v>45908</v>
      </c>
      <c r="D205" s="5">
        <v>0.47916666666666669</v>
      </c>
      <c r="E205" s="5">
        <v>0.54166666666666663</v>
      </c>
      <c r="F205" s="2" t="s">
        <v>9</v>
      </c>
      <c r="G205" s="2" t="s">
        <v>10</v>
      </c>
      <c r="H205" s="2" t="s">
        <v>482</v>
      </c>
      <c r="I205" s="2" t="s">
        <v>483</v>
      </c>
      <c r="J205" s="2">
        <v>104550</v>
      </c>
      <c r="K205" s="2" t="s">
        <v>484</v>
      </c>
      <c r="L205" s="2" t="s">
        <v>18</v>
      </c>
      <c r="M205" t="str">
        <f t="shared" si="18"/>
        <v>Raphaël Cohen-Akenine</v>
      </c>
      <c r="Q205" t="str">
        <f t="shared" si="16"/>
        <v>104550rcohenakenine</v>
      </c>
    </row>
    <row r="206" spans="1:17" hidden="1" x14ac:dyDescent="0.4">
      <c r="A206">
        <v>244</v>
      </c>
      <c r="B206" s="2"/>
      <c r="C206" s="4">
        <v>45908</v>
      </c>
      <c r="D206" s="5">
        <v>0.375</v>
      </c>
      <c r="E206" s="5">
        <v>0.4375</v>
      </c>
      <c r="F206" s="2" t="s">
        <v>9</v>
      </c>
      <c r="G206" s="2" t="s">
        <v>10</v>
      </c>
      <c r="H206" s="2" t="s">
        <v>482</v>
      </c>
      <c r="I206" s="2" t="s">
        <v>483</v>
      </c>
      <c r="J206" s="2">
        <v>102916</v>
      </c>
      <c r="K206" s="2" t="s">
        <v>484</v>
      </c>
      <c r="L206" s="2" t="s">
        <v>18</v>
      </c>
      <c r="M206" t="str">
        <f t="shared" si="18"/>
        <v>Raphaël Cohen-Akenine</v>
      </c>
      <c r="Q206" t="str">
        <f t="shared" si="16"/>
        <v>102916rcohenakenine</v>
      </c>
    </row>
    <row r="207" spans="1:17" hidden="1" x14ac:dyDescent="0.4">
      <c r="A207">
        <v>245</v>
      </c>
      <c r="B207" s="2"/>
      <c r="C207" s="4">
        <v>45909</v>
      </c>
      <c r="D207" s="5">
        <v>0.39583333333333331</v>
      </c>
      <c r="E207" s="5">
        <v>0.47916666666666669</v>
      </c>
      <c r="F207" s="2" t="s">
        <v>9</v>
      </c>
      <c r="G207" s="2" t="s">
        <v>10</v>
      </c>
      <c r="H207" s="2" t="s">
        <v>456</v>
      </c>
      <c r="I207" s="2" t="s">
        <v>457</v>
      </c>
      <c r="J207" s="2">
        <v>104959</v>
      </c>
      <c r="K207" s="2" t="s">
        <v>458</v>
      </c>
      <c r="L207" s="2" t="s">
        <v>18</v>
      </c>
      <c r="M207" t="str">
        <f t="shared" si="18"/>
        <v>Odile González Babiaud</v>
      </c>
      <c r="Q207" t="str">
        <f t="shared" si="16"/>
        <v>104959ogonzalezbabiaud</v>
      </c>
    </row>
    <row r="208" spans="1:17" hidden="1" x14ac:dyDescent="0.4">
      <c r="A208">
        <v>246</v>
      </c>
      <c r="B208" s="2"/>
      <c r="C208" s="4">
        <v>45909</v>
      </c>
      <c r="D208" s="5">
        <v>0.39583333333333331</v>
      </c>
      <c r="E208" s="5">
        <v>0.47916666666666669</v>
      </c>
      <c r="F208" s="2" t="s">
        <v>9</v>
      </c>
      <c r="G208" s="2" t="s">
        <v>10</v>
      </c>
      <c r="H208" s="2" t="s">
        <v>154</v>
      </c>
      <c r="I208" s="2" t="s">
        <v>155</v>
      </c>
      <c r="J208" s="2">
        <v>104959</v>
      </c>
      <c r="K208" s="2" t="s">
        <v>156</v>
      </c>
      <c r="L208" s="2" t="s">
        <v>14</v>
      </c>
      <c r="M208" t="str">
        <f>K208 &amp; " " &amp; I208</f>
        <v>Grandcolas Eliane</v>
      </c>
      <c r="Q208" t="str">
        <f t="shared" si="16"/>
        <v>104959egrandcolas</v>
      </c>
    </row>
    <row r="209" spans="1:17" hidden="1" x14ac:dyDescent="0.4">
      <c r="A209">
        <v>248</v>
      </c>
      <c r="B209" s="2"/>
      <c r="C209" s="4">
        <v>45908</v>
      </c>
      <c r="D209" s="5">
        <v>0.66666666666666663</v>
      </c>
      <c r="E209" s="5">
        <v>0.72916666666666663</v>
      </c>
      <c r="F209" s="2" t="s">
        <v>9</v>
      </c>
      <c r="G209" s="2" t="s">
        <v>10</v>
      </c>
      <c r="H209" s="2" t="s">
        <v>580</v>
      </c>
      <c r="I209" s="2" t="s">
        <v>581</v>
      </c>
      <c r="J209" s="2">
        <v>104855</v>
      </c>
      <c r="K209" s="2" t="s">
        <v>582</v>
      </c>
      <c r="L209" s="2" t="s">
        <v>18</v>
      </c>
      <c r="M209" t="str">
        <f>I209 &amp; " " &amp; K209</f>
        <v>Virgile Conesa</v>
      </c>
      <c r="Q209" t="str">
        <f t="shared" si="16"/>
        <v>104855vconesa</v>
      </c>
    </row>
    <row r="210" spans="1:17" hidden="1" x14ac:dyDescent="0.4">
      <c r="A210">
        <v>250</v>
      </c>
      <c r="B210" s="2"/>
      <c r="C210" s="4">
        <v>45908</v>
      </c>
      <c r="D210" s="5">
        <v>0.58333333333333337</v>
      </c>
      <c r="E210" s="5">
        <v>0.64583333333333337</v>
      </c>
      <c r="F210" s="2" t="s">
        <v>9</v>
      </c>
      <c r="G210" s="2" t="s">
        <v>10</v>
      </c>
      <c r="H210" s="2" t="s">
        <v>580</v>
      </c>
      <c r="I210" s="2" t="s">
        <v>581</v>
      </c>
      <c r="J210" s="2">
        <v>104551</v>
      </c>
      <c r="K210" s="2" t="s">
        <v>582</v>
      </c>
      <c r="L210" s="2" t="s">
        <v>18</v>
      </c>
      <c r="M210" t="str">
        <f>I210 &amp; " " &amp; K210</f>
        <v>Virgile Conesa</v>
      </c>
      <c r="Q210" t="str">
        <f t="shared" si="16"/>
        <v>104551vconesa</v>
      </c>
    </row>
    <row r="211" spans="1:17" hidden="1" x14ac:dyDescent="0.4">
      <c r="A211">
        <v>251</v>
      </c>
      <c r="B211" s="2"/>
      <c r="C211" s="4">
        <v>45908</v>
      </c>
      <c r="D211" s="5">
        <v>0.47916666666666669</v>
      </c>
      <c r="E211" s="5">
        <v>0.54166666666666663</v>
      </c>
      <c r="F211" s="2" t="s">
        <v>9</v>
      </c>
      <c r="G211" s="2" t="s">
        <v>10</v>
      </c>
      <c r="H211" s="2" t="s">
        <v>580</v>
      </c>
      <c r="I211" s="2" t="s">
        <v>581</v>
      </c>
      <c r="J211" s="2">
        <v>104550</v>
      </c>
      <c r="K211" s="2" t="s">
        <v>582</v>
      </c>
      <c r="L211" s="2" t="s">
        <v>18</v>
      </c>
      <c r="M211" t="str">
        <f>I211 &amp; " " &amp; K211</f>
        <v>Virgile Conesa</v>
      </c>
      <c r="Q211" t="str">
        <f t="shared" si="16"/>
        <v>104550vconesa</v>
      </c>
    </row>
    <row r="212" spans="1:17" hidden="1" x14ac:dyDescent="0.4">
      <c r="A212">
        <v>252</v>
      </c>
      <c r="B212" s="2"/>
      <c r="C212" s="4">
        <v>45908</v>
      </c>
      <c r="D212" s="5">
        <v>0.375</v>
      </c>
      <c r="E212" s="5">
        <v>0.4375</v>
      </c>
      <c r="F212" s="2" t="s">
        <v>9</v>
      </c>
      <c r="G212" s="2" t="s">
        <v>10</v>
      </c>
      <c r="H212" s="2" t="s">
        <v>580</v>
      </c>
      <c r="I212" s="2" t="s">
        <v>581</v>
      </c>
      <c r="J212" s="2">
        <v>102916</v>
      </c>
      <c r="K212" s="2" t="s">
        <v>582</v>
      </c>
      <c r="L212" s="2" t="s">
        <v>18</v>
      </c>
      <c r="M212" t="str">
        <f>K212 &amp; " " &amp; I212</f>
        <v>Conesa Virgile</v>
      </c>
      <c r="Q212" t="str">
        <f t="shared" si="16"/>
        <v>102916vconesa</v>
      </c>
    </row>
    <row r="213" spans="1:17" hidden="1" x14ac:dyDescent="0.4">
      <c r="A213">
        <v>253</v>
      </c>
      <c r="B213" s="2"/>
      <c r="C213" s="4">
        <v>45909</v>
      </c>
      <c r="D213" s="5">
        <v>0.39583333333333331</v>
      </c>
      <c r="E213" s="5">
        <v>0.47916666666666669</v>
      </c>
      <c r="F213" s="2" t="s">
        <v>9</v>
      </c>
      <c r="G213" s="2" t="s">
        <v>10</v>
      </c>
      <c r="H213" s="2" t="s">
        <v>491</v>
      </c>
      <c r="I213" s="2" t="s">
        <v>483</v>
      </c>
      <c r="J213" s="2">
        <v>104959</v>
      </c>
      <c r="K213" s="2" t="s">
        <v>492</v>
      </c>
      <c r="L213" s="2" t="s">
        <v>18</v>
      </c>
      <c r="M213" t="str">
        <f>I213 &amp; " " &amp; K213</f>
        <v>Raphaël Grevin</v>
      </c>
      <c r="Q213" t="str">
        <f t="shared" si="16"/>
        <v>104959rgrevin</v>
      </c>
    </row>
    <row r="214" spans="1:17" hidden="1" x14ac:dyDescent="0.4">
      <c r="A214">
        <v>254</v>
      </c>
      <c r="B214" s="2"/>
      <c r="C214" s="4">
        <v>45909</v>
      </c>
      <c r="D214" s="5">
        <v>0.39583333333333331</v>
      </c>
      <c r="E214" s="5">
        <v>0.47916666666666669</v>
      </c>
      <c r="F214" s="2" t="s">
        <v>9</v>
      </c>
      <c r="G214" s="2" t="s">
        <v>10</v>
      </c>
      <c r="H214" s="2" t="s">
        <v>345</v>
      </c>
      <c r="I214" s="2" t="s">
        <v>346</v>
      </c>
      <c r="J214" s="2">
        <v>104959</v>
      </c>
      <c r="K214" s="2" t="s">
        <v>347</v>
      </c>
      <c r="L214" s="2" t="s">
        <v>18</v>
      </c>
      <c r="M214" t="str">
        <f>I214 &amp; " " &amp; K214</f>
        <v>Loris Valentino Grillo</v>
      </c>
      <c r="Q214" t="str">
        <f t="shared" si="16"/>
        <v>104959lvgrillo</v>
      </c>
    </row>
    <row r="215" spans="1:17" hidden="1" x14ac:dyDescent="0.4">
      <c r="A215">
        <v>255</v>
      </c>
      <c r="B215" s="2"/>
      <c r="C215" s="4">
        <v>45908</v>
      </c>
      <c r="D215" s="5">
        <v>0.66666666666666663</v>
      </c>
      <c r="E215" s="5">
        <v>0.72916666666666663</v>
      </c>
      <c r="F215" s="2" t="s">
        <v>9</v>
      </c>
      <c r="G215" s="2" t="s">
        <v>10</v>
      </c>
      <c r="H215" s="2" t="s">
        <v>148</v>
      </c>
      <c r="I215" s="2" t="s">
        <v>149</v>
      </c>
      <c r="J215" s="2">
        <v>104855</v>
      </c>
      <c r="K215" s="2" t="s">
        <v>150</v>
      </c>
      <c r="L215" s="2" t="s">
        <v>14</v>
      </c>
      <c r="M215" t="str">
        <f t="shared" ref="M215:M219" si="19">K215 &amp; " " &amp; I215</f>
        <v>Constable Elisa</v>
      </c>
      <c r="Q215" t="str">
        <f t="shared" si="16"/>
        <v>104855econstable</v>
      </c>
    </row>
    <row r="216" spans="1:17" hidden="1" x14ac:dyDescent="0.4">
      <c r="A216">
        <v>257</v>
      </c>
      <c r="B216" s="2"/>
      <c r="C216" s="4">
        <v>45908</v>
      </c>
      <c r="D216" s="5">
        <v>0.58333333333333337</v>
      </c>
      <c r="E216" s="5">
        <v>0.64583333333333337</v>
      </c>
      <c r="F216" s="2" t="s">
        <v>9</v>
      </c>
      <c r="G216" s="2" t="s">
        <v>10</v>
      </c>
      <c r="H216" s="2" t="s">
        <v>148</v>
      </c>
      <c r="I216" s="2" t="s">
        <v>149</v>
      </c>
      <c r="J216" s="2">
        <v>104551</v>
      </c>
      <c r="K216" s="2" t="s">
        <v>150</v>
      </c>
      <c r="L216" s="2" t="s">
        <v>14</v>
      </c>
      <c r="M216" t="str">
        <f t="shared" si="19"/>
        <v>Constable Elisa</v>
      </c>
      <c r="Q216" t="str">
        <f t="shared" si="16"/>
        <v>104551econstable</v>
      </c>
    </row>
    <row r="217" spans="1:17" hidden="1" x14ac:dyDescent="0.4">
      <c r="A217">
        <v>258</v>
      </c>
      <c r="B217" s="2"/>
      <c r="C217" s="4">
        <v>45908</v>
      </c>
      <c r="D217" s="5">
        <v>0.47916666666666669</v>
      </c>
      <c r="E217" s="5">
        <v>0.54166666666666663</v>
      </c>
      <c r="F217" s="2" t="s">
        <v>9</v>
      </c>
      <c r="G217" s="2" t="s">
        <v>10</v>
      </c>
      <c r="H217" s="2" t="s">
        <v>148</v>
      </c>
      <c r="I217" s="2" t="s">
        <v>149</v>
      </c>
      <c r="J217" s="2">
        <v>104550</v>
      </c>
      <c r="K217" s="2" t="s">
        <v>150</v>
      </c>
      <c r="L217" s="2" t="s">
        <v>14</v>
      </c>
      <c r="M217" t="str">
        <f t="shared" si="19"/>
        <v>Constable Elisa</v>
      </c>
      <c r="Q217" t="str">
        <f t="shared" ref="Q217:Q270" si="20">J217&amp;H217</f>
        <v>104550econstable</v>
      </c>
    </row>
    <row r="218" spans="1:17" hidden="1" x14ac:dyDescent="0.4">
      <c r="A218">
        <v>259</v>
      </c>
      <c r="B218" s="2"/>
      <c r="C218" s="4">
        <v>45908</v>
      </c>
      <c r="D218" s="5">
        <v>0.375</v>
      </c>
      <c r="E218" s="5">
        <v>0.4375</v>
      </c>
      <c r="F218" s="2" t="s">
        <v>9</v>
      </c>
      <c r="G218" s="2" t="s">
        <v>10</v>
      </c>
      <c r="H218" s="2" t="s">
        <v>148</v>
      </c>
      <c r="I218" s="2" t="s">
        <v>149</v>
      </c>
      <c r="J218" s="2">
        <v>102916</v>
      </c>
      <c r="K218" s="2" t="s">
        <v>150</v>
      </c>
      <c r="L218" s="2" t="s">
        <v>14</v>
      </c>
      <c r="M218" t="str">
        <f t="shared" si="19"/>
        <v>Constable Elisa</v>
      </c>
      <c r="Q218" t="str">
        <f t="shared" si="20"/>
        <v>102916econstable</v>
      </c>
    </row>
    <row r="219" spans="1:17" hidden="1" x14ac:dyDescent="0.4">
      <c r="A219">
        <v>260</v>
      </c>
      <c r="B219" s="2"/>
      <c r="C219" s="4">
        <v>45909</v>
      </c>
      <c r="D219" s="5">
        <v>0.39583333333333331</v>
      </c>
      <c r="E219" s="5">
        <v>0.47916666666666669</v>
      </c>
      <c r="F219" s="2" t="s">
        <v>9</v>
      </c>
      <c r="G219" s="2" t="s">
        <v>10</v>
      </c>
      <c r="H219" s="2" t="s">
        <v>45</v>
      </c>
      <c r="I219" s="2" t="s">
        <v>46</v>
      </c>
      <c r="J219" s="2">
        <v>104959</v>
      </c>
      <c r="K219" s="2" t="s">
        <v>47</v>
      </c>
      <c r="L219" s="2" t="s">
        <v>14</v>
      </c>
      <c r="M219" t="str">
        <f t="shared" si="19"/>
        <v>Grizard Alexis</v>
      </c>
      <c r="Q219" t="str">
        <f t="shared" si="20"/>
        <v>104959agrizard</v>
      </c>
    </row>
    <row r="220" spans="1:17" hidden="1" x14ac:dyDescent="0.4">
      <c r="A220">
        <v>261</v>
      </c>
      <c r="B220" s="2"/>
      <c r="C220" s="4">
        <v>45909</v>
      </c>
      <c r="D220" s="5">
        <v>0.39583333333333331</v>
      </c>
      <c r="E220" s="5">
        <v>0.47916666666666669</v>
      </c>
      <c r="F220" s="2" t="s">
        <v>9</v>
      </c>
      <c r="G220" s="2" t="s">
        <v>10</v>
      </c>
      <c r="H220" s="2" t="s">
        <v>48</v>
      </c>
      <c r="I220" s="2" t="s">
        <v>49</v>
      </c>
      <c r="J220" s="2">
        <v>104959</v>
      </c>
      <c r="K220" s="2" t="s">
        <v>50</v>
      </c>
      <c r="L220" s="2" t="s">
        <v>18</v>
      </c>
      <c r="M220" t="str">
        <f>I220 &amp; " " &amp; K220</f>
        <v>Ansel Gross</v>
      </c>
      <c r="Q220" t="str">
        <f t="shared" si="20"/>
        <v>104959agross1</v>
      </c>
    </row>
    <row r="221" spans="1:17" hidden="1" x14ac:dyDescent="0.4">
      <c r="A221">
        <v>262</v>
      </c>
      <c r="B221" s="2"/>
      <c r="C221" s="4">
        <v>45908</v>
      </c>
      <c r="D221" s="5">
        <v>0.66666666666666663</v>
      </c>
      <c r="E221" s="5">
        <v>0.72916666666666663</v>
      </c>
      <c r="F221" s="2" t="s">
        <v>9</v>
      </c>
      <c r="G221" s="2" t="s">
        <v>10</v>
      </c>
      <c r="H221" s="2" t="s">
        <v>99</v>
      </c>
      <c r="I221" s="2" t="s">
        <v>100</v>
      </c>
      <c r="J221" s="2">
        <v>104855</v>
      </c>
      <c r="K221" s="2" t="s">
        <v>101</v>
      </c>
      <c r="L221" s="2" t="s">
        <v>18</v>
      </c>
      <c r="M221" t="str">
        <f>K221 &amp; " " &amp; I221</f>
        <v>Coppola Christiana</v>
      </c>
      <c r="Q221" t="str">
        <f t="shared" si="20"/>
        <v>104855ccoppola</v>
      </c>
    </row>
    <row r="222" spans="1:17" hidden="1" x14ac:dyDescent="0.4">
      <c r="A222">
        <v>264</v>
      </c>
      <c r="B222" s="2"/>
      <c r="C222" s="4">
        <v>45908</v>
      </c>
      <c r="D222" s="5">
        <v>0.58333333333333337</v>
      </c>
      <c r="E222" s="5">
        <v>0.64583333333333337</v>
      </c>
      <c r="F222" s="2" t="s">
        <v>9</v>
      </c>
      <c r="G222" s="2" t="s">
        <v>10</v>
      </c>
      <c r="H222" s="2" t="s">
        <v>99</v>
      </c>
      <c r="I222" s="2" t="s">
        <v>100</v>
      </c>
      <c r="J222" s="2">
        <v>104551</v>
      </c>
      <c r="K222" s="2" t="s">
        <v>101</v>
      </c>
      <c r="L222" s="2" t="s">
        <v>18</v>
      </c>
      <c r="M222" t="str">
        <f>K222 &amp; " " &amp; I222</f>
        <v>Coppola Christiana</v>
      </c>
      <c r="Q222" t="str">
        <f t="shared" si="20"/>
        <v>104551ccoppola</v>
      </c>
    </row>
    <row r="223" spans="1:17" hidden="1" x14ac:dyDescent="0.4">
      <c r="A223">
        <v>265</v>
      </c>
      <c r="B223" s="2"/>
      <c r="C223" s="4">
        <v>45908</v>
      </c>
      <c r="D223" s="5">
        <v>0.47916666666666669</v>
      </c>
      <c r="E223" s="5">
        <v>0.54166666666666663</v>
      </c>
      <c r="F223" s="2" t="s">
        <v>9</v>
      </c>
      <c r="G223" s="2" t="s">
        <v>10</v>
      </c>
      <c r="H223" s="2" t="s">
        <v>99</v>
      </c>
      <c r="I223" s="2" t="s">
        <v>100</v>
      </c>
      <c r="J223" s="2">
        <v>104550</v>
      </c>
      <c r="K223" s="2" t="s">
        <v>101</v>
      </c>
      <c r="L223" s="2" t="s">
        <v>18</v>
      </c>
      <c r="M223" t="str">
        <f>K223 &amp; " " &amp; I223</f>
        <v>Coppola Christiana</v>
      </c>
      <c r="Q223" t="str">
        <f t="shared" si="20"/>
        <v>104550ccoppola</v>
      </c>
    </row>
    <row r="224" spans="1:17" hidden="1" x14ac:dyDescent="0.4">
      <c r="A224">
        <v>266</v>
      </c>
      <c r="B224" s="2"/>
      <c r="C224" s="4">
        <v>45908</v>
      </c>
      <c r="D224" s="5">
        <v>0.375</v>
      </c>
      <c r="E224" s="5">
        <v>0.4375</v>
      </c>
      <c r="F224" s="2" t="s">
        <v>9</v>
      </c>
      <c r="G224" s="2" t="s">
        <v>10</v>
      </c>
      <c r="H224" s="2" t="s">
        <v>99</v>
      </c>
      <c r="I224" s="2" t="s">
        <v>100</v>
      </c>
      <c r="J224" s="2">
        <v>102916</v>
      </c>
      <c r="K224" s="2" t="s">
        <v>101</v>
      </c>
      <c r="L224" s="2" t="s">
        <v>18</v>
      </c>
      <c r="M224" t="str">
        <f>K224 &amp; " " &amp; I224</f>
        <v>Coppola Christiana</v>
      </c>
      <c r="Q224" t="str">
        <f t="shared" si="20"/>
        <v>102916ccoppola</v>
      </c>
    </row>
    <row r="225" spans="1:17" hidden="1" x14ac:dyDescent="0.4">
      <c r="A225">
        <v>267</v>
      </c>
      <c r="B225" s="2"/>
      <c r="C225" s="4">
        <v>45909</v>
      </c>
      <c r="D225" s="5">
        <v>0.39583333333333331</v>
      </c>
      <c r="E225" s="5">
        <v>0.47916666666666669</v>
      </c>
      <c r="F225" s="2" t="s">
        <v>9</v>
      </c>
      <c r="G225" s="2" t="s">
        <v>10</v>
      </c>
      <c r="H225" s="2" t="s">
        <v>560</v>
      </c>
      <c r="I225" s="2" t="s">
        <v>561</v>
      </c>
      <c r="J225" s="2">
        <v>104959</v>
      </c>
      <c r="K225" s="2" t="s">
        <v>562</v>
      </c>
      <c r="L225" s="2" t="s">
        <v>18</v>
      </c>
      <c r="M225" t="str">
        <f>I225 &amp; " " &amp; K225</f>
        <v>Thomas Guilbert Selb</v>
      </c>
      <c r="Q225" t="str">
        <f t="shared" si="20"/>
        <v>104959tguilbertselb</v>
      </c>
    </row>
    <row r="226" spans="1:17" hidden="1" x14ac:dyDescent="0.4">
      <c r="A226">
        <v>268</v>
      </c>
      <c r="B226" s="2"/>
      <c r="C226" s="4">
        <v>45909</v>
      </c>
      <c r="D226" s="5">
        <v>0.39583333333333331</v>
      </c>
      <c r="E226" s="5">
        <v>0.47916666666666669</v>
      </c>
      <c r="F226" s="2" t="s">
        <v>9</v>
      </c>
      <c r="G226" s="2" t="s">
        <v>10</v>
      </c>
      <c r="H226" s="2" t="s">
        <v>323</v>
      </c>
      <c r="I226" s="2" t="s">
        <v>313</v>
      </c>
      <c r="J226" s="2">
        <v>104959</v>
      </c>
      <c r="K226" s="2" t="s">
        <v>324</v>
      </c>
      <c r="L226" s="2" t="s">
        <v>18</v>
      </c>
      <c r="M226" t="str">
        <f>I226 &amp; " " &amp; K226</f>
        <v>Louis Guilleux</v>
      </c>
      <c r="Q226" t="str">
        <f t="shared" si="20"/>
        <v>104959lguilleux</v>
      </c>
    </row>
    <row r="227" spans="1:17" hidden="1" x14ac:dyDescent="0.4">
      <c r="A227">
        <v>269</v>
      </c>
      <c r="B227" s="2"/>
      <c r="C227" s="4">
        <v>45908</v>
      </c>
      <c r="D227" s="5">
        <v>0.66666666666666663</v>
      </c>
      <c r="E227" s="5">
        <v>0.72916666666666663</v>
      </c>
      <c r="F227" s="2" t="s">
        <v>9</v>
      </c>
      <c r="G227" s="2" t="s">
        <v>10</v>
      </c>
      <c r="H227" s="2" t="s">
        <v>196</v>
      </c>
      <c r="I227" s="2" t="s">
        <v>197</v>
      </c>
      <c r="J227" s="2">
        <v>104855</v>
      </c>
      <c r="K227" s="2" t="s">
        <v>198</v>
      </c>
      <c r="L227" s="2" t="s">
        <v>18</v>
      </c>
      <c r="M227" t="str">
        <f>I227 &amp; " " &amp; K227</f>
        <v>Filip Cusmir</v>
      </c>
      <c r="Q227" t="str">
        <f t="shared" si="20"/>
        <v>104855fcusmir</v>
      </c>
    </row>
    <row r="228" spans="1:17" hidden="1" x14ac:dyDescent="0.4">
      <c r="A228">
        <v>271</v>
      </c>
      <c r="B228" s="2"/>
      <c r="C228" s="4">
        <v>45908</v>
      </c>
      <c r="D228" s="5">
        <v>0.58333333333333337</v>
      </c>
      <c r="E228" s="5">
        <v>0.64583333333333337</v>
      </c>
      <c r="F228" s="2" t="s">
        <v>9</v>
      </c>
      <c r="G228" s="2" t="s">
        <v>10</v>
      </c>
      <c r="H228" s="2" t="s">
        <v>196</v>
      </c>
      <c r="I228" s="2" t="s">
        <v>197</v>
      </c>
      <c r="J228" s="2">
        <v>104551</v>
      </c>
      <c r="K228" s="2" t="s">
        <v>198</v>
      </c>
      <c r="L228" s="2" t="s">
        <v>18</v>
      </c>
      <c r="M228" t="str">
        <f>I228 &amp; " " &amp; K228</f>
        <v>Filip Cusmir</v>
      </c>
      <c r="Q228" t="str">
        <f t="shared" si="20"/>
        <v>104551fcusmir</v>
      </c>
    </row>
    <row r="229" spans="1:17" hidden="1" x14ac:dyDescent="0.4">
      <c r="A229">
        <v>272</v>
      </c>
      <c r="B229" s="2"/>
      <c r="C229" s="4">
        <v>45908</v>
      </c>
      <c r="D229" s="5">
        <v>0.47916666666666669</v>
      </c>
      <c r="E229" s="5">
        <v>0.54166666666666663</v>
      </c>
      <c r="F229" s="2" t="s">
        <v>9</v>
      </c>
      <c r="G229" s="2" t="s">
        <v>10</v>
      </c>
      <c r="H229" s="2" t="s">
        <v>196</v>
      </c>
      <c r="I229" s="2" t="s">
        <v>197</v>
      </c>
      <c r="J229" s="2">
        <v>104550</v>
      </c>
      <c r="K229" s="2" t="s">
        <v>198</v>
      </c>
      <c r="L229" s="2" t="s">
        <v>18</v>
      </c>
      <c r="M229" t="str">
        <f>I229 &amp; " " &amp; K229</f>
        <v>Filip Cusmir</v>
      </c>
      <c r="Q229" t="str">
        <f t="shared" si="20"/>
        <v>104550fcusmir</v>
      </c>
    </row>
    <row r="230" spans="1:17" hidden="1" x14ac:dyDescent="0.4">
      <c r="A230">
        <v>273</v>
      </c>
      <c r="B230" s="2"/>
      <c r="C230" s="4">
        <v>45908</v>
      </c>
      <c r="D230" s="5">
        <v>0.375</v>
      </c>
      <c r="E230" s="5">
        <v>0.4375</v>
      </c>
      <c r="F230" s="2" t="s">
        <v>9</v>
      </c>
      <c r="G230" s="2" t="s">
        <v>10</v>
      </c>
      <c r="H230" s="2" t="s">
        <v>196</v>
      </c>
      <c r="I230" s="2" t="s">
        <v>197</v>
      </c>
      <c r="J230" s="2">
        <v>102916</v>
      </c>
      <c r="K230" s="2" t="s">
        <v>198</v>
      </c>
      <c r="L230" s="2" t="s">
        <v>14</v>
      </c>
      <c r="M230" t="str">
        <f>K230 &amp; " " &amp; I230</f>
        <v>Cusmir Filip</v>
      </c>
      <c r="Q230" t="str">
        <f t="shared" si="20"/>
        <v>102916fcusmir</v>
      </c>
    </row>
    <row r="231" spans="1:17" hidden="1" x14ac:dyDescent="0.4">
      <c r="A231">
        <v>274</v>
      </c>
      <c r="B231" s="2"/>
      <c r="C231" s="4">
        <v>45909</v>
      </c>
      <c r="D231" s="5">
        <v>0.39583333333333331</v>
      </c>
      <c r="E231" s="5">
        <v>0.47916666666666669</v>
      </c>
      <c r="F231" s="2" t="s">
        <v>9</v>
      </c>
      <c r="G231" s="2" t="s">
        <v>10</v>
      </c>
      <c r="H231" s="2" t="s">
        <v>51</v>
      </c>
      <c r="I231" s="2" t="s">
        <v>52</v>
      </c>
      <c r="J231" s="2">
        <v>104959</v>
      </c>
      <c r="K231" s="2" t="s">
        <v>53</v>
      </c>
      <c r="L231" s="2" t="s">
        <v>18</v>
      </c>
      <c r="M231" t="str">
        <f>I231 &amp; " " &amp; K231</f>
        <v>Adrien Guy-Duché</v>
      </c>
      <c r="Q231" t="str">
        <f t="shared" si="20"/>
        <v>104959aguyduche</v>
      </c>
    </row>
    <row r="232" spans="1:17" hidden="1" x14ac:dyDescent="0.4">
      <c r="A232">
        <v>275</v>
      </c>
      <c r="B232" s="2"/>
      <c r="C232" s="4">
        <v>45909</v>
      </c>
      <c r="D232" s="5">
        <v>0.39583333333333331</v>
      </c>
      <c r="E232" s="5">
        <v>0.47916666666666669</v>
      </c>
      <c r="F232" s="2" t="s">
        <v>9</v>
      </c>
      <c r="G232" s="2" t="s">
        <v>10</v>
      </c>
      <c r="H232" s="2" t="s">
        <v>514</v>
      </c>
      <c r="I232" s="2" t="s">
        <v>515</v>
      </c>
      <c r="J232" s="2">
        <v>104959</v>
      </c>
      <c r="K232" s="2" t="s">
        <v>516</v>
      </c>
      <c r="L232" s="2" t="s">
        <v>18</v>
      </c>
      <c r="M232" t="str">
        <f>I232 &amp; " " &amp; K232</f>
        <v>Sarra Hamdoun</v>
      </c>
      <c r="Q232" t="str">
        <f t="shared" si="20"/>
        <v>104959shamdoun</v>
      </c>
    </row>
    <row r="233" spans="1:17" hidden="1" x14ac:dyDescent="0.4">
      <c r="A233">
        <v>276</v>
      </c>
      <c r="B233" s="2"/>
      <c r="C233" s="4">
        <v>45908</v>
      </c>
      <c r="D233" s="5">
        <v>0.66666666666666663</v>
      </c>
      <c r="E233" s="5">
        <v>0.72916666666666663</v>
      </c>
      <c r="F233" s="2" t="s">
        <v>9</v>
      </c>
      <c r="G233" s="2" t="s">
        <v>10</v>
      </c>
      <c r="H233" s="2" t="s">
        <v>453</v>
      </c>
      <c r="I233" s="2" t="s">
        <v>454</v>
      </c>
      <c r="J233" s="2">
        <v>104855</v>
      </c>
      <c r="K233" s="2" t="s">
        <v>455</v>
      </c>
      <c r="L233" s="2" t="s">
        <v>18</v>
      </c>
      <c r="M233" t="str">
        <f>I233 &amp; " " &amp; K233</f>
        <v>Oihan de Sousa Pires</v>
      </c>
      <c r="Q233" t="str">
        <f t="shared" si="20"/>
        <v>104855odesousapires</v>
      </c>
    </row>
    <row r="234" spans="1:17" hidden="1" x14ac:dyDescent="0.4">
      <c r="A234">
        <v>278</v>
      </c>
      <c r="B234" s="2"/>
      <c r="C234" s="4">
        <v>45908</v>
      </c>
      <c r="D234" s="5">
        <v>0.58333333333333337</v>
      </c>
      <c r="E234" s="5">
        <v>0.64583333333333337</v>
      </c>
      <c r="F234" s="2" t="s">
        <v>9</v>
      </c>
      <c r="G234" s="2" t="s">
        <v>10</v>
      </c>
      <c r="H234" s="2" t="s">
        <v>453</v>
      </c>
      <c r="I234" s="2" t="s">
        <v>454</v>
      </c>
      <c r="J234" s="2">
        <v>104551</v>
      </c>
      <c r="K234" s="2" t="s">
        <v>455</v>
      </c>
      <c r="L234" s="2" t="s">
        <v>18</v>
      </c>
      <c r="M234" t="str">
        <f>I234 &amp; " " &amp; K234</f>
        <v>Oihan de Sousa Pires</v>
      </c>
      <c r="Q234" t="str">
        <f t="shared" si="20"/>
        <v>104551odesousapires</v>
      </c>
    </row>
    <row r="235" spans="1:17" hidden="1" x14ac:dyDescent="0.4">
      <c r="A235">
        <v>279</v>
      </c>
      <c r="B235" s="2"/>
      <c r="C235" s="4">
        <v>45908</v>
      </c>
      <c r="D235" s="5">
        <v>0.47916666666666669</v>
      </c>
      <c r="E235" s="5">
        <v>0.54166666666666663</v>
      </c>
      <c r="F235" s="2" t="s">
        <v>9</v>
      </c>
      <c r="G235" s="2" t="s">
        <v>10</v>
      </c>
      <c r="H235" s="2" t="s">
        <v>453</v>
      </c>
      <c r="I235" s="2" t="s">
        <v>454</v>
      </c>
      <c r="J235" s="2">
        <v>104550</v>
      </c>
      <c r="K235" s="2" t="s">
        <v>455</v>
      </c>
      <c r="L235" s="2" t="s">
        <v>18</v>
      </c>
      <c r="M235" t="str">
        <f>I235 &amp; " " &amp; K235</f>
        <v>Oihan de Sousa Pires</v>
      </c>
      <c r="Q235" t="str">
        <f t="shared" si="20"/>
        <v>104550odesousapires</v>
      </c>
    </row>
    <row r="236" spans="1:17" hidden="1" x14ac:dyDescent="0.4">
      <c r="A236">
        <v>280</v>
      </c>
      <c r="B236" s="2"/>
      <c r="C236" s="4">
        <v>45908</v>
      </c>
      <c r="D236" s="5">
        <v>0.375</v>
      </c>
      <c r="E236" s="5">
        <v>0.4375</v>
      </c>
      <c r="F236" s="2" t="s">
        <v>9</v>
      </c>
      <c r="G236" s="2" t="s">
        <v>10</v>
      </c>
      <c r="H236" s="2" t="s">
        <v>453</v>
      </c>
      <c r="I236" s="2" t="s">
        <v>454</v>
      </c>
      <c r="J236" s="2">
        <v>102916</v>
      </c>
      <c r="K236" s="2" t="s">
        <v>455</v>
      </c>
      <c r="L236" s="2" t="s">
        <v>18</v>
      </c>
      <c r="M236" t="str">
        <f>K236 &amp; " " &amp; I236</f>
        <v>de Sousa Pires Oihan</v>
      </c>
      <c r="Q236" t="str">
        <f t="shared" si="20"/>
        <v>102916odesousapires</v>
      </c>
    </row>
    <row r="237" spans="1:17" hidden="1" x14ac:dyDescent="0.4">
      <c r="A237">
        <v>281</v>
      </c>
      <c r="B237" s="2"/>
      <c r="C237" s="4">
        <v>45909</v>
      </c>
      <c r="D237" s="5">
        <v>0.39583333333333331</v>
      </c>
      <c r="E237" s="5">
        <v>0.47916666666666669</v>
      </c>
      <c r="F237" s="2" t="s">
        <v>9</v>
      </c>
      <c r="G237" s="2" t="s">
        <v>10</v>
      </c>
      <c r="H237" s="2" t="s">
        <v>493</v>
      </c>
      <c r="I237" s="2" t="s">
        <v>494</v>
      </c>
      <c r="J237" s="2">
        <v>104959</v>
      </c>
      <c r="K237" s="2" t="s">
        <v>495</v>
      </c>
      <c r="L237" s="2" t="s">
        <v>18</v>
      </c>
      <c r="M237" t="str">
        <f>I237 &amp; " " &amp; K237</f>
        <v>Rei Harada</v>
      </c>
      <c r="Q237" t="str">
        <f t="shared" si="20"/>
        <v>104959rharada</v>
      </c>
    </row>
    <row r="238" spans="1:17" hidden="1" x14ac:dyDescent="0.4">
      <c r="A238">
        <v>282</v>
      </c>
      <c r="B238" s="2"/>
      <c r="C238" s="4">
        <v>45909</v>
      </c>
      <c r="D238" s="5">
        <v>0.39583333333333331</v>
      </c>
      <c r="E238" s="5">
        <v>0.47916666666666669</v>
      </c>
      <c r="F238" s="2" t="s">
        <v>9</v>
      </c>
      <c r="G238" s="2" t="s">
        <v>10</v>
      </c>
      <c r="H238" s="2" t="s">
        <v>590</v>
      </c>
      <c r="I238" s="2" t="s">
        <v>578</v>
      </c>
      <c r="J238" s="2">
        <v>104959</v>
      </c>
      <c r="K238" s="2" t="s">
        <v>591</v>
      </c>
      <c r="L238" s="2" t="s">
        <v>18</v>
      </c>
      <c r="M238" t="str">
        <f>I238 &amp; " " &amp; K238</f>
        <v>Victor Harnois</v>
      </c>
      <c r="Q238" t="str">
        <f t="shared" si="20"/>
        <v>104959vharnois</v>
      </c>
    </row>
    <row r="239" spans="1:17" hidden="1" x14ac:dyDescent="0.4">
      <c r="A239">
        <v>283</v>
      </c>
      <c r="B239" s="2"/>
      <c r="C239" s="4">
        <v>45908</v>
      </c>
      <c r="D239" s="5">
        <v>0.66666666666666663</v>
      </c>
      <c r="E239" s="5">
        <v>0.72916666666666663</v>
      </c>
      <c r="F239" s="2" t="s">
        <v>9</v>
      </c>
      <c r="G239" s="2" t="s">
        <v>10</v>
      </c>
      <c r="H239" s="2" t="s">
        <v>27</v>
      </c>
      <c r="I239" s="2" t="s">
        <v>28</v>
      </c>
      <c r="J239" s="2">
        <v>104855</v>
      </c>
      <c r="K239" s="2" t="s">
        <v>29</v>
      </c>
      <c r="L239" s="2" t="s">
        <v>18</v>
      </c>
      <c r="M239" t="str">
        <f>I239 &amp; " " &amp; K239</f>
        <v>Aloïs Decaëns</v>
      </c>
      <c r="Q239" t="str">
        <f t="shared" si="20"/>
        <v>104855adecaens</v>
      </c>
    </row>
    <row r="240" spans="1:17" hidden="1" x14ac:dyDescent="0.4">
      <c r="A240">
        <v>285</v>
      </c>
      <c r="B240" s="2"/>
      <c r="C240" s="4">
        <v>45908</v>
      </c>
      <c r="D240" s="5">
        <v>0.58333333333333337</v>
      </c>
      <c r="E240" s="5">
        <v>0.64583333333333337</v>
      </c>
      <c r="F240" s="2" t="s">
        <v>9</v>
      </c>
      <c r="G240" s="2" t="s">
        <v>10</v>
      </c>
      <c r="H240" s="2" t="s">
        <v>27</v>
      </c>
      <c r="I240" s="2" t="s">
        <v>28</v>
      </c>
      <c r="J240" s="2">
        <v>104551</v>
      </c>
      <c r="K240" s="2" t="s">
        <v>29</v>
      </c>
      <c r="L240" s="2" t="s">
        <v>18</v>
      </c>
      <c r="M240" t="str">
        <f>I240 &amp; " " &amp; K240</f>
        <v>Aloïs Decaëns</v>
      </c>
      <c r="Q240" t="str">
        <f t="shared" si="20"/>
        <v>104551adecaens</v>
      </c>
    </row>
    <row r="241" spans="1:17" hidden="1" x14ac:dyDescent="0.4">
      <c r="A241">
        <v>286</v>
      </c>
      <c r="B241" s="2"/>
      <c r="C241" s="4">
        <v>45908</v>
      </c>
      <c r="D241" s="5">
        <v>0.47916666666666669</v>
      </c>
      <c r="E241" s="5">
        <v>0.54166666666666663</v>
      </c>
      <c r="F241" s="2" t="s">
        <v>9</v>
      </c>
      <c r="G241" s="2" t="s">
        <v>10</v>
      </c>
      <c r="H241" s="2" t="s">
        <v>27</v>
      </c>
      <c r="I241" s="2" t="s">
        <v>28</v>
      </c>
      <c r="J241" s="2">
        <v>104550</v>
      </c>
      <c r="K241" s="2" t="s">
        <v>29</v>
      </c>
      <c r="L241" s="2" t="s">
        <v>18</v>
      </c>
      <c r="M241" t="str">
        <f>I241 &amp; " " &amp; K241</f>
        <v>Aloïs Decaëns</v>
      </c>
      <c r="Q241" t="str">
        <f t="shared" si="20"/>
        <v>104550adecaens</v>
      </c>
    </row>
    <row r="242" spans="1:17" hidden="1" x14ac:dyDescent="0.4">
      <c r="A242">
        <v>287</v>
      </c>
      <c r="B242" s="2"/>
      <c r="C242" s="4">
        <v>45908</v>
      </c>
      <c r="D242" s="5">
        <v>0.375</v>
      </c>
      <c r="E242" s="5">
        <v>0.4375</v>
      </c>
      <c r="F242" s="2" t="s">
        <v>9</v>
      </c>
      <c r="G242" s="2" t="s">
        <v>10</v>
      </c>
      <c r="H242" s="2" t="s">
        <v>27</v>
      </c>
      <c r="I242" s="2" t="s">
        <v>28</v>
      </c>
      <c r="J242" s="2">
        <v>102916</v>
      </c>
      <c r="K242" s="2" t="s">
        <v>29</v>
      </c>
      <c r="L242" s="2" t="s">
        <v>18</v>
      </c>
      <c r="M242" t="str">
        <f>K242 &amp; " " &amp; I242</f>
        <v>Decaëns Aloïs</v>
      </c>
      <c r="Q242" t="str">
        <f t="shared" si="20"/>
        <v>102916adecaens</v>
      </c>
    </row>
    <row r="243" spans="1:17" hidden="1" x14ac:dyDescent="0.4">
      <c r="A243">
        <v>288</v>
      </c>
      <c r="B243" s="2"/>
      <c r="C243" s="4">
        <v>45909</v>
      </c>
      <c r="D243" s="5">
        <v>0.39583333333333331</v>
      </c>
      <c r="E243" s="5">
        <v>0.47916666666666669</v>
      </c>
      <c r="F243" s="2" t="s">
        <v>9</v>
      </c>
      <c r="G243" s="2" t="s">
        <v>10</v>
      </c>
      <c r="H243" s="2" t="s">
        <v>227</v>
      </c>
      <c r="I243" s="2" t="s">
        <v>228</v>
      </c>
      <c r="J243" s="2">
        <v>104959</v>
      </c>
      <c r="K243" s="2" t="s">
        <v>229</v>
      </c>
      <c r="L243" s="2" t="s">
        <v>18</v>
      </c>
      <c r="M243" t="str">
        <f>I243 &amp; " " &amp; K243</f>
        <v>Hugo Hernout</v>
      </c>
      <c r="Q243" t="str">
        <f t="shared" si="20"/>
        <v>104959hhernout</v>
      </c>
    </row>
    <row r="244" spans="1:17" hidden="1" x14ac:dyDescent="0.4">
      <c r="A244">
        <v>289</v>
      </c>
      <c r="B244" s="2"/>
      <c r="C244" s="4">
        <v>45909</v>
      </c>
      <c r="D244" s="5">
        <v>0.39583333333333331</v>
      </c>
      <c r="E244" s="5">
        <v>0.47916666666666669</v>
      </c>
      <c r="F244" s="2" t="s">
        <v>9</v>
      </c>
      <c r="G244" s="2" t="s">
        <v>10</v>
      </c>
      <c r="H244" s="2" t="s">
        <v>157</v>
      </c>
      <c r="I244" s="2" t="s">
        <v>158</v>
      </c>
      <c r="J244" s="2">
        <v>104959</v>
      </c>
      <c r="K244" s="2" t="s">
        <v>159</v>
      </c>
      <c r="L244" s="2" t="s">
        <v>18</v>
      </c>
      <c r="M244" t="str">
        <f>I244 &amp; " " &amp; K244</f>
        <v>Éléa Hetzel</v>
      </c>
      <c r="Q244" t="str">
        <f t="shared" si="20"/>
        <v>104959ehetzel</v>
      </c>
    </row>
    <row r="245" spans="1:17" hidden="1" x14ac:dyDescent="0.4">
      <c r="A245">
        <v>290</v>
      </c>
      <c r="B245" s="2"/>
      <c r="C245" s="4">
        <v>45908</v>
      </c>
      <c r="D245" s="5">
        <v>0.66666666666666663</v>
      </c>
      <c r="E245" s="5">
        <v>0.72916666666666663</v>
      </c>
      <c r="F245" s="2" t="s">
        <v>9</v>
      </c>
      <c r="G245" s="2" t="s">
        <v>10</v>
      </c>
      <c r="H245" s="2" t="s">
        <v>485</v>
      </c>
      <c r="I245" s="2" t="s">
        <v>486</v>
      </c>
      <c r="J245" s="2">
        <v>104855</v>
      </c>
      <c r="K245" s="2" t="s">
        <v>487</v>
      </c>
      <c r="L245" s="2" t="s">
        <v>14</v>
      </c>
      <c r="M245" t="str">
        <f t="shared" ref="M245:M249" si="21">K245 &amp; " " &amp; I245</f>
        <v>Dehors Rose</v>
      </c>
      <c r="Q245" t="str">
        <f t="shared" si="20"/>
        <v>104855rdehors</v>
      </c>
    </row>
    <row r="246" spans="1:17" hidden="1" x14ac:dyDescent="0.4">
      <c r="A246">
        <v>292</v>
      </c>
      <c r="B246" s="2"/>
      <c r="C246" s="4">
        <v>45908</v>
      </c>
      <c r="D246" s="5">
        <v>0.58333333333333337</v>
      </c>
      <c r="E246" s="5">
        <v>0.64583333333333337</v>
      </c>
      <c r="F246" s="2" t="s">
        <v>9</v>
      </c>
      <c r="G246" s="2" t="s">
        <v>10</v>
      </c>
      <c r="H246" s="2" t="s">
        <v>485</v>
      </c>
      <c r="I246" s="2" t="s">
        <v>486</v>
      </c>
      <c r="J246" s="2">
        <v>104551</v>
      </c>
      <c r="K246" s="2" t="s">
        <v>487</v>
      </c>
      <c r="L246" s="2" t="s">
        <v>14</v>
      </c>
      <c r="M246" t="str">
        <f t="shared" si="21"/>
        <v>Dehors Rose</v>
      </c>
      <c r="Q246" t="str">
        <f t="shared" si="20"/>
        <v>104551rdehors</v>
      </c>
    </row>
    <row r="247" spans="1:17" hidden="1" x14ac:dyDescent="0.4">
      <c r="A247">
        <v>293</v>
      </c>
      <c r="B247" s="2"/>
      <c r="C247" s="4">
        <v>45908</v>
      </c>
      <c r="D247" s="5">
        <v>0.47916666666666669</v>
      </c>
      <c r="E247" s="5">
        <v>0.54166666666666663</v>
      </c>
      <c r="F247" s="2" t="s">
        <v>9</v>
      </c>
      <c r="G247" s="2" t="s">
        <v>10</v>
      </c>
      <c r="H247" s="2" t="s">
        <v>485</v>
      </c>
      <c r="I247" s="2" t="s">
        <v>486</v>
      </c>
      <c r="J247" s="2">
        <v>104550</v>
      </c>
      <c r="K247" s="2" t="s">
        <v>487</v>
      </c>
      <c r="L247" s="2" t="s">
        <v>14</v>
      </c>
      <c r="M247" t="str">
        <f t="shared" si="21"/>
        <v>Dehors Rose</v>
      </c>
      <c r="Q247" t="str">
        <f t="shared" si="20"/>
        <v>104550rdehors</v>
      </c>
    </row>
    <row r="248" spans="1:17" hidden="1" x14ac:dyDescent="0.4">
      <c r="A248">
        <v>294</v>
      </c>
      <c r="B248" s="2"/>
      <c r="C248" s="4">
        <v>45908</v>
      </c>
      <c r="D248" s="5">
        <v>0.375</v>
      </c>
      <c r="E248" s="5">
        <v>0.4375</v>
      </c>
      <c r="F248" s="2" t="s">
        <v>9</v>
      </c>
      <c r="G248" s="2" t="s">
        <v>10</v>
      </c>
      <c r="H248" s="2" t="s">
        <v>485</v>
      </c>
      <c r="I248" s="2" t="s">
        <v>486</v>
      </c>
      <c r="J248" s="2">
        <v>102916</v>
      </c>
      <c r="K248" s="2" t="s">
        <v>487</v>
      </c>
      <c r="L248" s="2" t="s">
        <v>14</v>
      </c>
      <c r="M248" t="str">
        <f t="shared" si="21"/>
        <v>Dehors Rose</v>
      </c>
      <c r="Q248" t="str">
        <f t="shared" si="20"/>
        <v>102916rdehors</v>
      </c>
    </row>
    <row r="249" spans="1:17" hidden="1" x14ac:dyDescent="0.4">
      <c r="A249">
        <v>295</v>
      </c>
      <c r="B249" s="2"/>
      <c r="C249" s="4">
        <v>45909</v>
      </c>
      <c r="D249" s="5">
        <v>0.39583333333333331</v>
      </c>
      <c r="E249" s="5">
        <v>0.47916666666666669</v>
      </c>
      <c r="F249" s="2" t="s">
        <v>9</v>
      </c>
      <c r="G249" s="2" t="s">
        <v>10</v>
      </c>
      <c r="H249" s="2" t="s">
        <v>284</v>
      </c>
      <c r="I249" s="2" t="s">
        <v>285</v>
      </c>
      <c r="J249" s="2">
        <v>104959</v>
      </c>
      <c r="K249" s="2" t="s">
        <v>286</v>
      </c>
      <c r="L249" s="2" t="s">
        <v>14</v>
      </c>
      <c r="M249" t="str">
        <f t="shared" si="21"/>
        <v>Huang Jiayue</v>
      </c>
      <c r="Q249" t="str">
        <f t="shared" si="20"/>
        <v>104959jhuang1</v>
      </c>
    </row>
    <row r="250" spans="1:17" hidden="1" x14ac:dyDescent="0.4">
      <c r="A250">
        <v>296</v>
      </c>
      <c r="B250" s="2"/>
      <c r="C250" s="4">
        <v>45909</v>
      </c>
      <c r="D250" s="5">
        <v>0.39583333333333331</v>
      </c>
      <c r="E250" s="5">
        <v>0.47916666666666669</v>
      </c>
      <c r="F250" s="2" t="s">
        <v>9</v>
      </c>
      <c r="G250" s="2" t="s">
        <v>10</v>
      </c>
      <c r="H250" s="2" t="s">
        <v>54</v>
      </c>
      <c r="I250" s="2" t="s">
        <v>55</v>
      </c>
      <c r="J250" s="2">
        <v>104959</v>
      </c>
      <c r="K250" s="2" t="s">
        <v>56</v>
      </c>
      <c r="L250" s="2" t="s">
        <v>18</v>
      </c>
      <c r="M250" t="str">
        <f>I250 &amp; " " &amp; K250</f>
        <v>Alonso Huerta</v>
      </c>
      <c r="Q250" t="str">
        <f t="shared" si="20"/>
        <v>104959ahuerta</v>
      </c>
    </row>
    <row r="251" spans="1:17" hidden="1" x14ac:dyDescent="0.4">
      <c r="A251">
        <v>297</v>
      </c>
      <c r="B251" s="2"/>
      <c r="C251" s="4">
        <v>45908</v>
      </c>
      <c r="D251" s="5">
        <v>0.66666666666666663</v>
      </c>
      <c r="E251" s="5">
        <v>0.72916666666666663</v>
      </c>
      <c r="F251" s="2" t="s">
        <v>9</v>
      </c>
      <c r="G251" s="2" t="s">
        <v>10</v>
      </c>
      <c r="H251" s="2" t="s">
        <v>212</v>
      </c>
      <c r="I251" s="2" t="s">
        <v>213</v>
      </c>
      <c r="J251" s="2">
        <v>104855</v>
      </c>
      <c r="K251" s="2" t="s">
        <v>214</v>
      </c>
      <c r="L251" s="2" t="s">
        <v>18</v>
      </c>
      <c r="M251" t="str">
        <f>I251 &amp; " " &amp; K251</f>
        <v>Guillaume Delattre</v>
      </c>
      <c r="Q251" t="str">
        <f t="shared" si="20"/>
        <v>104855gdelattre</v>
      </c>
    </row>
    <row r="252" spans="1:17" hidden="1" x14ac:dyDescent="0.4">
      <c r="A252">
        <v>299</v>
      </c>
      <c r="B252" s="2"/>
      <c r="C252" s="4">
        <v>45908</v>
      </c>
      <c r="D252" s="5">
        <v>0.58333333333333337</v>
      </c>
      <c r="E252" s="5">
        <v>0.64583333333333337</v>
      </c>
      <c r="F252" s="2" t="s">
        <v>9</v>
      </c>
      <c r="G252" s="2" t="s">
        <v>10</v>
      </c>
      <c r="H252" s="2" t="s">
        <v>212</v>
      </c>
      <c r="I252" s="2" t="s">
        <v>213</v>
      </c>
      <c r="J252" s="2">
        <v>104551</v>
      </c>
      <c r="K252" s="2" t="s">
        <v>214</v>
      </c>
      <c r="L252" s="2" t="s">
        <v>18</v>
      </c>
      <c r="M252" t="str">
        <f>I252 &amp; " " &amp; K252</f>
        <v>Guillaume Delattre</v>
      </c>
      <c r="Q252" t="str">
        <f t="shared" si="20"/>
        <v>104551gdelattre</v>
      </c>
    </row>
    <row r="253" spans="1:17" hidden="1" x14ac:dyDescent="0.4">
      <c r="A253">
        <v>300</v>
      </c>
      <c r="B253" s="2"/>
      <c r="C253" s="4">
        <v>45908</v>
      </c>
      <c r="D253" s="5">
        <v>0.47916666666666669</v>
      </c>
      <c r="E253" s="5">
        <v>0.54166666666666663</v>
      </c>
      <c r="F253" s="2" t="s">
        <v>9</v>
      </c>
      <c r="G253" s="2" t="s">
        <v>10</v>
      </c>
      <c r="H253" s="2" t="s">
        <v>212</v>
      </c>
      <c r="I253" s="2" t="s">
        <v>213</v>
      </c>
      <c r="J253" s="2">
        <v>104550</v>
      </c>
      <c r="K253" s="2" t="s">
        <v>214</v>
      </c>
      <c r="L253" s="2" t="s">
        <v>18</v>
      </c>
      <c r="M253" t="str">
        <f>I253 &amp; " " &amp; K253</f>
        <v>Guillaume Delattre</v>
      </c>
      <c r="Q253" t="str">
        <f t="shared" si="20"/>
        <v>104550gdelattre</v>
      </c>
    </row>
    <row r="254" spans="1:17" hidden="1" x14ac:dyDescent="0.4">
      <c r="A254">
        <v>301</v>
      </c>
      <c r="B254" s="2"/>
      <c r="C254" s="4">
        <v>45908</v>
      </c>
      <c r="D254" s="5">
        <v>0.375</v>
      </c>
      <c r="E254" s="5">
        <v>0.4375</v>
      </c>
      <c r="F254" s="2" t="s">
        <v>9</v>
      </c>
      <c r="G254" s="2" t="s">
        <v>10</v>
      </c>
      <c r="H254" s="2" t="s">
        <v>212</v>
      </c>
      <c r="I254" s="2" t="s">
        <v>213</v>
      </c>
      <c r="J254" s="2">
        <v>102916</v>
      </c>
      <c r="K254" s="2" t="s">
        <v>214</v>
      </c>
      <c r="L254" s="2" t="s">
        <v>18</v>
      </c>
      <c r="M254" t="str">
        <f>I254 &amp; " " &amp; K254</f>
        <v>Guillaume Delattre</v>
      </c>
      <c r="Q254" t="str">
        <f t="shared" si="20"/>
        <v>102916gdelattre</v>
      </c>
    </row>
    <row r="255" spans="1:17" hidden="1" x14ac:dyDescent="0.4">
      <c r="A255">
        <v>303</v>
      </c>
      <c r="B255" s="2"/>
      <c r="C255" s="4">
        <v>45909</v>
      </c>
      <c r="D255" s="5">
        <v>0.39583333333333331</v>
      </c>
      <c r="E255" s="5">
        <v>0.47916666666666669</v>
      </c>
      <c r="F255" s="2" t="s">
        <v>9</v>
      </c>
      <c r="G255" s="2" t="s">
        <v>10</v>
      </c>
      <c r="H255" s="2" t="s">
        <v>160</v>
      </c>
      <c r="I255" s="2" t="s">
        <v>161</v>
      </c>
      <c r="J255" s="2">
        <v>104959</v>
      </c>
      <c r="K255" s="2" t="s">
        <v>162</v>
      </c>
      <c r="L255" s="2" t="s">
        <v>14</v>
      </c>
      <c r="M255" t="str">
        <f>K255 &amp; " " &amp; I255</f>
        <v>Jaume Masferrer Enric</v>
      </c>
      <c r="Q255" t="str">
        <f t="shared" si="20"/>
        <v>104959ejaumemasferrer</v>
      </c>
    </row>
    <row r="256" spans="1:17" hidden="1" x14ac:dyDescent="0.4">
      <c r="A256">
        <v>304</v>
      </c>
      <c r="B256" s="2"/>
      <c r="C256" s="4">
        <v>45908</v>
      </c>
      <c r="D256" s="5">
        <v>0.66666666666666663</v>
      </c>
      <c r="E256" s="5">
        <v>0.72916666666666663</v>
      </c>
      <c r="F256" s="2" t="s">
        <v>9</v>
      </c>
      <c r="G256" s="2" t="s">
        <v>10</v>
      </c>
      <c r="H256" s="2" t="s">
        <v>30</v>
      </c>
      <c r="I256" s="2" t="s">
        <v>31</v>
      </c>
      <c r="J256" s="2">
        <v>104855</v>
      </c>
      <c r="K256" s="2" t="s">
        <v>32</v>
      </c>
      <c r="L256" s="2" t="s">
        <v>18</v>
      </c>
      <c r="M256" t="str">
        <f>I256 &amp; " " &amp; K256</f>
        <v>Antoine Delhoume</v>
      </c>
      <c r="Q256" t="str">
        <f t="shared" si="20"/>
        <v>104855adelhoume</v>
      </c>
    </row>
    <row r="257" spans="1:17" hidden="1" x14ac:dyDescent="0.4">
      <c r="A257">
        <v>306</v>
      </c>
      <c r="B257" s="2"/>
      <c r="C257" s="4">
        <v>45908</v>
      </c>
      <c r="D257" s="5">
        <v>0.58333333333333337</v>
      </c>
      <c r="E257" s="5">
        <v>0.64583333333333337</v>
      </c>
      <c r="F257" s="2" t="s">
        <v>9</v>
      </c>
      <c r="G257" s="2" t="s">
        <v>10</v>
      </c>
      <c r="H257" s="2" t="s">
        <v>30</v>
      </c>
      <c r="I257" s="2" t="s">
        <v>31</v>
      </c>
      <c r="J257" s="2">
        <v>104551</v>
      </c>
      <c r="K257" s="2" t="s">
        <v>32</v>
      </c>
      <c r="L257" s="2" t="s">
        <v>18</v>
      </c>
      <c r="M257" t="str">
        <f>I257 &amp; " " &amp; K257</f>
        <v>Antoine Delhoume</v>
      </c>
      <c r="Q257" t="str">
        <f t="shared" si="20"/>
        <v>104551adelhoume</v>
      </c>
    </row>
    <row r="258" spans="1:17" hidden="1" x14ac:dyDescent="0.4">
      <c r="A258">
        <v>307</v>
      </c>
      <c r="B258" s="2"/>
      <c r="C258" s="4">
        <v>45908</v>
      </c>
      <c r="D258" s="5">
        <v>0.47916666666666669</v>
      </c>
      <c r="E258" s="5">
        <v>0.54166666666666663</v>
      </c>
      <c r="F258" s="2" t="s">
        <v>9</v>
      </c>
      <c r="G258" s="2" t="s">
        <v>10</v>
      </c>
      <c r="H258" s="2" t="s">
        <v>30</v>
      </c>
      <c r="I258" s="2" t="s">
        <v>31</v>
      </c>
      <c r="J258" s="2">
        <v>104550</v>
      </c>
      <c r="K258" s="2" t="s">
        <v>32</v>
      </c>
      <c r="L258" s="2" t="s">
        <v>18</v>
      </c>
      <c r="M258" t="str">
        <f>I258 &amp; " " &amp; K258</f>
        <v>Antoine Delhoume</v>
      </c>
      <c r="Q258" t="str">
        <f t="shared" si="20"/>
        <v>104550adelhoume</v>
      </c>
    </row>
    <row r="259" spans="1:17" hidden="1" x14ac:dyDescent="0.4">
      <c r="A259">
        <v>308</v>
      </c>
      <c r="B259" s="2"/>
      <c r="C259" s="4">
        <v>45908</v>
      </c>
      <c r="D259" s="5">
        <v>0.375</v>
      </c>
      <c r="E259" s="5">
        <v>0.4375</v>
      </c>
      <c r="F259" s="2" t="s">
        <v>9</v>
      </c>
      <c r="G259" s="2" t="s">
        <v>10</v>
      </c>
      <c r="H259" s="2" t="s">
        <v>30</v>
      </c>
      <c r="I259" s="2" t="s">
        <v>31</v>
      </c>
      <c r="J259" s="2">
        <v>102916</v>
      </c>
      <c r="K259" s="2" t="s">
        <v>32</v>
      </c>
      <c r="L259" s="2" t="s">
        <v>18</v>
      </c>
      <c r="M259" t="str">
        <f>I259 &amp; " " &amp; K259</f>
        <v>Antoine Delhoume</v>
      </c>
      <c r="Q259" t="str">
        <f t="shared" si="20"/>
        <v>102916adelhoume</v>
      </c>
    </row>
    <row r="260" spans="1:17" hidden="1" x14ac:dyDescent="0.4">
      <c r="A260">
        <v>309</v>
      </c>
      <c r="B260" s="2"/>
      <c r="C260" s="4">
        <v>45909</v>
      </c>
      <c r="D260" s="5">
        <v>0.39583333333333331</v>
      </c>
      <c r="E260" s="5">
        <v>0.47916666666666669</v>
      </c>
      <c r="F260" s="2" t="s">
        <v>9</v>
      </c>
      <c r="G260" s="2" t="s">
        <v>10</v>
      </c>
      <c r="H260" s="2" t="s">
        <v>57</v>
      </c>
      <c r="I260" s="2" t="s">
        <v>31</v>
      </c>
      <c r="J260" s="2">
        <v>104959</v>
      </c>
      <c r="K260" s="2" t="s">
        <v>58</v>
      </c>
      <c r="L260" s="2" t="s">
        <v>18</v>
      </c>
      <c r="M260" t="str">
        <f>I260 &amp; " " &amp; K260</f>
        <v>Antoine Jeannot</v>
      </c>
      <c r="Q260" t="str">
        <f t="shared" si="20"/>
        <v>104959ajeannot</v>
      </c>
    </row>
    <row r="261" spans="1:17" hidden="1" x14ac:dyDescent="0.4">
      <c r="A261">
        <v>310</v>
      </c>
      <c r="B261" s="2"/>
      <c r="C261" s="4">
        <v>45909</v>
      </c>
      <c r="D261" s="5">
        <v>0.39583333333333331</v>
      </c>
      <c r="E261" s="5">
        <v>0.47916666666666669</v>
      </c>
      <c r="F261" s="2" t="s">
        <v>9</v>
      </c>
      <c r="G261" s="2" t="s">
        <v>10</v>
      </c>
      <c r="H261" s="2" t="s">
        <v>563</v>
      </c>
      <c r="I261" s="2" t="s">
        <v>564</v>
      </c>
      <c r="J261" s="2">
        <v>104959</v>
      </c>
      <c r="K261" s="2" t="s">
        <v>565</v>
      </c>
      <c r="L261" s="2" t="s">
        <v>14</v>
      </c>
      <c r="M261" t="str">
        <f t="shared" ref="M261:M265" si="22">K261 &amp; " " &amp; I261</f>
        <v>Jen Takashi</v>
      </c>
      <c r="Q261" t="str">
        <f t="shared" si="20"/>
        <v>104959tjen</v>
      </c>
    </row>
    <row r="262" spans="1:17" hidden="1" x14ac:dyDescent="0.4">
      <c r="A262">
        <v>311</v>
      </c>
      <c r="B262" s="2"/>
      <c r="C262" s="4">
        <v>45908</v>
      </c>
      <c r="D262" s="5">
        <v>0.66666666666666663</v>
      </c>
      <c r="E262" s="5">
        <v>0.72916666666666663</v>
      </c>
      <c r="F262" s="2" t="s">
        <v>9</v>
      </c>
      <c r="G262" s="2" t="s">
        <v>10</v>
      </c>
      <c r="H262" s="2" t="s">
        <v>199</v>
      </c>
      <c r="I262" s="2" t="s">
        <v>200</v>
      </c>
      <c r="J262" s="2">
        <v>104855</v>
      </c>
      <c r="K262" s="2" t="s">
        <v>201</v>
      </c>
      <c r="L262" s="2" t="s">
        <v>14</v>
      </c>
      <c r="M262" t="str">
        <f t="shared" si="22"/>
        <v>Deschodt Florian</v>
      </c>
      <c r="Q262" t="str">
        <f t="shared" si="20"/>
        <v>104855fdeschodt</v>
      </c>
    </row>
    <row r="263" spans="1:17" hidden="1" x14ac:dyDescent="0.4">
      <c r="A263">
        <v>313</v>
      </c>
      <c r="B263" s="2"/>
      <c r="C263" s="4">
        <v>45908</v>
      </c>
      <c r="D263" s="5">
        <v>0.58333333333333337</v>
      </c>
      <c r="E263" s="5">
        <v>0.64583333333333337</v>
      </c>
      <c r="F263" s="2" t="s">
        <v>9</v>
      </c>
      <c r="G263" s="2" t="s">
        <v>10</v>
      </c>
      <c r="H263" s="2" t="s">
        <v>199</v>
      </c>
      <c r="I263" s="2" t="s">
        <v>200</v>
      </c>
      <c r="J263" s="2">
        <v>104551</v>
      </c>
      <c r="K263" s="2" t="s">
        <v>201</v>
      </c>
      <c r="L263" s="2" t="s">
        <v>14</v>
      </c>
      <c r="M263" t="str">
        <f t="shared" si="22"/>
        <v>Deschodt Florian</v>
      </c>
      <c r="Q263" t="str">
        <f t="shared" si="20"/>
        <v>104551fdeschodt</v>
      </c>
    </row>
    <row r="264" spans="1:17" hidden="1" x14ac:dyDescent="0.4">
      <c r="A264">
        <v>314</v>
      </c>
      <c r="B264" s="2"/>
      <c r="C264" s="4">
        <v>45908</v>
      </c>
      <c r="D264" s="5">
        <v>0.47916666666666669</v>
      </c>
      <c r="E264" s="5">
        <v>0.54166666666666663</v>
      </c>
      <c r="F264" s="2" t="s">
        <v>9</v>
      </c>
      <c r="G264" s="2" t="s">
        <v>10</v>
      </c>
      <c r="H264" s="2" t="s">
        <v>199</v>
      </c>
      <c r="I264" s="2" t="s">
        <v>200</v>
      </c>
      <c r="J264" s="2">
        <v>104550</v>
      </c>
      <c r="K264" s="2" t="s">
        <v>201</v>
      </c>
      <c r="L264" s="2" t="s">
        <v>14</v>
      </c>
      <c r="M264" t="str">
        <f t="shared" si="22"/>
        <v>Deschodt Florian</v>
      </c>
      <c r="Q264" t="str">
        <f t="shared" si="20"/>
        <v>104550fdeschodt</v>
      </c>
    </row>
    <row r="265" spans="1:17" hidden="1" x14ac:dyDescent="0.4">
      <c r="A265">
        <v>315</v>
      </c>
      <c r="B265" s="2"/>
      <c r="C265" s="4">
        <v>45908</v>
      </c>
      <c r="D265" s="5">
        <v>0.375</v>
      </c>
      <c r="E265" s="5">
        <v>0.4375</v>
      </c>
      <c r="F265" s="2" t="s">
        <v>9</v>
      </c>
      <c r="G265" s="2" t="s">
        <v>10</v>
      </c>
      <c r="H265" s="2" t="s">
        <v>199</v>
      </c>
      <c r="I265" s="2" t="s">
        <v>200</v>
      </c>
      <c r="J265" s="2">
        <v>102916</v>
      </c>
      <c r="K265" s="2" t="s">
        <v>201</v>
      </c>
      <c r="L265" s="2" t="s">
        <v>14</v>
      </c>
      <c r="M265" t="str">
        <f t="shared" si="22"/>
        <v>Deschodt Florian</v>
      </c>
      <c r="Q265" t="str">
        <f t="shared" si="20"/>
        <v>102916fdeschodt</v>
      </c>
    </row>
    <row r="266" spans="1:17" hidden="1" x14ac:dyDescent="0.4">
      <c r="A266">
        <v>316</v>
      </c>
      <c r="B266" s="2"/>
      <c r="C266" s="4">
        <v>45909</v>
      </c>
      <c r="D266" s="5">
        <v>0.39583333333333331</v>
      </c>
      <c r="E266" s="5">
        <v>0.47916666666666669</v>
      </c>
      <c r="F266" s="2" t="s">
        <v>9</v>
      </c>
      <c r="G266" s="2" t="s">
        <v>10</v>
      </c>
      <c r="H266" s="2" t="s">
        <v>232</v>
      </c>
      <c r="I266" s="2" t="s">
        <v>233</v>
      </c>
      <c r="J266" s="2">
        <v>104959</v>
      </c>
      <c r="K266" s="2" t="s">
        <v>234</v>
      </c>
      <c r="L266" s="2" t="s">
        <v>18</v>
      </c>
      <c r="M266" t="str">
        <f>I266 &amp; " " &amp; K266</f>
        <v>Henry Joly</v>
      </c>
      <c r="Q266" t="str">
        <f t="shared" si="20"/>
        <v>104959hjoly</v>
      </c>
    </row>
    <row r="267" spans="1:17" hidden="1" x14ac:dyDescent="0.4">
      <c r="A267">
        <v>317</v>
      </c>
      <c r="B267" s="2"/>
      <c r="C267" s="4">
        <v>45909</v>
      </c>
      <c r="D267" s="5">
        <v>0.39583333333333331</v>
      </c>
      <c r="E267" s="5">
        <v>0.47916666666666669</v>
      </c>
      <c r="F267" s="2" t="s">
        <v>9</v>
      </c>
      <c r="G267" s="2" t="s">
        <v>10</v>
      </c>
      <c r="H267" s="2" t="s">
        <v>424</v>
      </c>
      <c r="I267" s="2" t="s">
        <v>425</v>
      </c>
      <c r="J267" s="2">
        <v>104959</v>
      </c>
      <c r="K267" s="2" t="s">
        <v>426</v>
      </c>
      <c r="L267" s="2" t="s">
        <v>18</v>
      </c>
      <c r="M267" t="str">
        <f>I267 &amp; " " &amp; K267</f>
        <v>Nils Josselin</v>
      </c>
      <c r="Q267" t="str">
        <f t="shared" si="20"/>
        <v>104959njosselin</v>
      </c>
    </row>
    <row r="268" spans="1:17" hidden="1" x14ac:dyDescent="0.4">
      <c r="A268">
        <v>319</v>
      </c>
      <c r="B268" s="2"/>
      <c r="C268" s="4">
        <v>45908</v>
      </c>
      <c r="D268" s="5">
        <v>0.58333333333333337</v>
      </c>
      <c r="E268" s="5">
        <v>0.64583333333333337</v>
      </c>
      <c r="F268" s="2" t="s">
        <v>9</v>
      </c>
      <c r="G268" s="2" t="s">
        <v>10</v>
      </c>
      <c r="H268" s="2" t="s">
        <v>583</v>
      </c>
      <c r="I268" s="2" t="s">
        <v>578</v>
      </c>
      <c r="J268" s="2">
        <v>104551</v>
      </c>
      <c r="K268" s="2" t="s">
        <v>584</v>
      </c>
      <c r="L268" s="2" t="s">
        <v>18</v>
      </c>
      <c r="M268" t="str">
        <f>K268 &amp; " " &amp; I268</f>
        <v>Dieny Victor</v>
      </c>
      <c r="Q268" t="str">
        <f t="shared" si="20"/>
        <v>104551vdieny</v>
      </c>
    </row>
    <row r="269" spans="1:17" hidden="1" x14ac:dyDescent="0.4">
      <c r="A269">
        <v>320</v>
      </c>
      <c r="B269" s="2"/>
      <c r="C269" s="4">
        <v>45908</v>
      </c>
      <c r="D269" s="5">
        <v>0.47916666666666669</v>
      </c>
      <c r="E269" s="5">
        <v>0.54166666666666663</v>
      </c>
      <c r="F269" s="2" t="s">
        <v>9</v>
      </c>
      <c r="G269" s="2" t="s">
        <v>10</v>
      </c>
      <c r="H269" s="2" t="s">
        <v>583</v>
      </c>
      <c r="I269" s="2" t="s">
        <v>578</v>
      </c>
      <c r="J269" s="2">
        <v>104550</v>
      </c>
      <c r="K269" s="2" t="s">
        <v>584</v>
      </c>
      <c r="L269" s="2" t="s">
        <v>18</v>
      </c>
      <c r="M269" t="str">
        <f>K269 &amp; " " &amp; I269</f>
        <v>Dieny Victor</v>
      </c>
      <c r="Q269" t="str">
        <f t="shared" si="20"/>
        <v>104550vdieny</v>
      </c>
    </row>
    <row r="270" spans="1:17" hidden="1" x14ac:dyDescent="0.4">
      <c r="A270">
        <v>321</v>
      </c>
      <c r="B270" s="2"/>
      <c r="C270" s="4">
        <v>45908</v>
      </c>
      <c r="D270" s="5">
        <v>0.375</v>
      </c>
      <c r="E270" s="5">
        <v>0.4375</v>
      </c>
      <c r="F270" s="2" t="s">
        <v>9</v>
      </c>
      <c r="G270" s="2" t="s">
        <v>10</v>
      </c>
      <c r="H270" s="2" t="s">
        <v>583</v>
      </c>
      <c r="I270" s="2" t="s">
        <v>578</v>
      </c>
      <c r="J270" s="2">
        <v>102916</v>
      </c>
      <c r="K270" s="2" t="s">
        <v>584</v>
      </c>
      <c r="L270" s="2" t="s">
        <v>18</v>
      </c>
      <c r="M270" t="str">
        <f>K270 &amp; " " &amp; I270</f>
        <v>Dieny Victor</v>
      </c>
      <c r="Q270" t="str">
        <f t="shared" si="20"/>
        <v>102916vdieny</v>
      </c>
    </row>
    <row r="271" spans="1:17" hidden="1" x14ac:dyDescent="0.4">
      <c r="A271">
        <v>322</v>
      </c>
      <c r="B271" s="2"/>
      <c r="C271" s="4">
        <v>45909</v>
      </c>
      <c r="D271" s="5">
        <v>0.39583333333333331</v>
      </c>
      <c r="E271" s="5">
        <v>0.47916666666666669</v>
      </c>
      <c r="F271" s="2" t="s">
        <v>9</v>
      </c>
      <c r="G271" s="2" t="s">
        <v>10</v>
      </c>
      <c r="H271" s="2" t="s">
        <v>496</v>
      </c>
      <c r="I271" s="2" t="s">
        <v>497</v>
      </c>
      <c r="J271" s="2">
        <v>104959</v>
      </c>
      <c r="K271" s="2" t="s">
        <v>498</v>
      </c>
      <c r="L271" s="2" t="s">
        <v>18</v>
      </c>
      <c r="M271" t="str">
        <f t="shared" ref="M271:M276" si="23">I271 &amp; " " &amp; K271</f>
        <v>Rouben Kazandjian</v>
      </c>
      <c r="Q271" t="str">
        <f t="shared" ref="Q271:Q323" si="24">J271&amp;H271</f>
        <v>104959rkazandjian</v>
      </c>
    </row>
    <row r="272" spans="1:17" hidden="1" x14ac:dyDescent="0.4">
      <c r="A272">
        <v>323</v>
      </c>
      <c r="B272" s="2"/>
      <c r="C272" s="4">
        <v>45909</v>
      </c>
      <c r="D272" s="5">
        <v>0.39583333333333331</v>
      </c>
      <c r="E272" s="5">
        <v>0.47916666666666669</v>
      </c>
      <c r="F272" s="2" t="s">
        <v>9</v>
      </c>
      <c r="G272" s="2" t="s">
        <v>10</v>
      </c>
      <c r="H272" s="2" t="s">
        <v>59</v>
      </c>
      <c r="I272" s="2" t="s">
        <v>60</v>
      </c>
      <c r="J272" s="2">
        <v>104959</v>
      </c>
      <c r="K272" s="2" t="s">
        <v>61</v>
      </c>
      <c r="L272" s="2" t="s">
        <v>18</v>
      </c>
      <c r="M272" t="str">
        <f t="shared" si="23"/>
        <v>Ariane Kerouanton</v>
      </c>
      <c r="Q272" t="str">
        <f t="shared" si="24"/>
        <v>104959akerouanton</v>
      </c>
    </row>
    <row r="273" spans="1:17" hidden="1" x14ac:dyDescent="0.4">
      <c r="A273">
        <v>324</v>
      </c>
      <c r="B273" s="2"/>
      <c r="C273" s="4">
        <v>45908</v>
      </c>
      <c r="D273" s="5">
        <v>0.66666666666666663</v>
      </c>
      <c r="E273" s="5">
        <v>0.72916666666666663</v>
      </c>
      <c r="F273" s="2" t="s">
        <v>9</v>
      </c>
      <c r="G273" s="2" t="s">
        <v>10</v>
      </c>
      <c r="H273" s="2" t="s">
        <v>33</v>
      </c>
      <c r="I273" s="2" t="s">
        <v>34</v>
      </c>
      <c r="J273" s="2">
        <v>104855</v>
      </c>
      <c r="K273" s="2" t="s">
        <v>35</v>
      </c>
      <c r="L273" s="2" t="s">
        <v>18</v>
      </c>
      <c r="M273" t="str">
        <f t="shared" si="23"/>
        <v>Allan d'Orlan de Polignac</v>
      </c>
      <c r="Q273" t="str">
        <f t="shared" si="24"/>
        <v>104855adorlandepolignac</v>
      </c>
    </row>
    <row r="274" spans="1:17" hidden="1" x14ac:dyDescent="0.4">
      <c r="A274">
        <v>326</v>
      </c>
      <c r="B274" s="2"/>
      <c r="C274" s="4">
        <v>45908</v>
      </c>
      <c r="D274" s="5">
        <v>0.58333333333333337</v>
      </c>
      <c r="E274" s="5">
        <v>0.64583333333333337</v>
      </c>
      <c r="F274" s="2" t="s">
        <v>9</v>
      </c>
      <c r="G274" s="2" t="s">
        <v>10</v>
      </c>
      <c r="H274" s="2" t="s">
        <v>33</v>
      </c>
      <c r="I274" s="2" t="s">
        <v>34</v>
      </c>
      <c r="J274" s="2">
        <v>104551</v>
      </c>
      <c r="K274" s="2" t="s">
        <v>35</v>
      </c>
      <c r="L274" s="2" t="s">
        <v>18</v>
      </c>
      <c r="M274" t="str">
        <f t="shared" si="23"/>
        <v>Allan d'Orlan de Polignac</v>
      </c>
      <c r="Q274" t="str">
        <f t="shared" si="24"/>
        <v>104551adorlandepolignac</v>
      </c>
    </row>
    <row r="275" spans="1:17" hidden="1" x14ac:dyDescent="0.4">
      <c r="A275">
        <v>327</v>
      </c>
      <c r="B275" s="2"/>
      <c r="C275" s="4">
        <v>45908</v>
      </c>
      <c r="D275" s="5">
        <v>0.47916666666666669</v>
      </c>
      <c r="E275" s="5">
        <v>0.54166666666666663</v>
      </c>
      <c r="F275" s="2" t="s">
        <v>9</v>
      </c>
      <c r="G275" s="2" t="s">
        <v>10</v>
      </c>
      <c r="H275" s="2" t="s">
        <v>33</v>
      </c>
      <c r="I275" s="2" t="s">
        <v>34</v>
      </c>
      <c r="J275" s="2">
        <v>104550</v>
      </c>
      <c r="K275" s="2" t="s">
        <v>35</v>
      </c>
      <c r="L275" s="2" t="s">
        <v>18</v>
      </c>
      <c r="M275" t="str">
        <f t="shared" si="23"/>
        <v>Allan d'Orlan de Polignac</v>
      </c>
      <c r="Q275" t="str">
        <f t="shared" si="24"/>
        <v>104550adorlandepolignac</v>
      </c>
    </row>
    <row r="276" spans="1:17" hidden="1" x14ac:dyDescent="0.4">
      <c r="A276">
        <v>328</v>
      </c>
      <c r="B276" s="2"/>
      <c r="C276" s="4">
        <v>45908</v>
      </c>
      <c r="D276" s="5">
        <v>0.375</v>
      </c>
      <c r="E276" s="5">
        <v>0.4375</v>
      </c>
      <c r="F276" s="2" t="s">
        <v>9</v>
      </c>
      <c r="G276" s="2" t="s">
        <v>10</v>
      </c>
      <c r="H276" s="2" t="s">
        <v>33</v>
      </c>
      <c r="I276" s="2" t="s">
        <v>34</v>
      </c>
      <c r="J276" s="2">
        <v>102916</v>
      </c>
      <c r="K276" s="2" t="s">
        <v>35</v>
      </c>
      <c r="L276" s="2" t="s">
        <v>18</v>
      </c>
      <c r="M276" t="str">
        <f t="shared" si="23"/>
        <v>Allan d'Orlan de Polignac</v>
      </c>
      <c r="Q276" t="str">
        <f t="shared" si="24"/>
        <v>102916adorlandepolignac</v>
      </c>
    </row>
    <row r="277" spans="1:17" hidden="1" x14ac:dyDescent="0.4">
      <c r="A277">
        <v>330</v>
      </c>
      <c r="B277" s="2"/>
      <c r="C277" s="4">
        <v>45909</v>
      </c>
      <c r="D277" s="5">
        <v>0.39583333333333331</v>
      </c>
      <c r="E277" s="5">
        <v>0.47916666666666669</v>
      </c>
      <c r="F277" s="2" t="s">
        <v>9</v>
      </c>
      <c r="G277" s="2" t="s">
        <v>10</v>
      </c>
      <c r="H277" s="2" t="s">
        <v>517</v>
      </c>
      <c r="I277" s="2" t="s">
        <v>518</v>
      </c>
      <c r="J277" s="2">
        <v>104959</v>
      </c>
      <c r="K277" s="2" t="s">
        <v>367</v>
      </c>
      <c r="L277" s="2" t="s">
        <v>14</v>
      </c>
      <c r="M277" t="str">
        <f t="shared" ref="M277:M282" si="25">K277 &amp; " " &amp; I277</f>
        <v>Kim Seohyeon</v>
      </c>
      <c r="Q277" t="str">
        <f t="shared" si="24"/>
        <v>104959skim4</v>
      </c>
    </row>
    <row r="278" spans="1:17" hidden="1" x14ac:dyDescent="0.4">
      <c r="A278">
        <v>331</v>
      </c>
      <c r="B278" s="2"/>
      <c r="C278" s="4">
        <v>45908</v>
      </c>
      <c r="D278" s="5">
        <v>0.66666666666666663</v>
      </c>
      <c r="E278" s="5">
        <v>0.72916666666666663</v>
      </c>
      <c r="F278" s="2" t="s">
        <v>9</v>
      </c>
      <c r="G278" s="2" t="s">
        <v>10</v>
      </c>
      <c r="H278" s="2" t="s">
        <v>438</v>
      </c>
      <c r="I278" s="2" t="s">
        <v>439</v>
      </c>
      <c r="J278" s="2">
        <v>104855</v>
      </c>
      <c r="K278" s="2" t="s">
        <v>440</v>
      </c>
      <c r="L278" s="2" t="s">
        <v>14</v>
      </c>
      <c r="M278" t="str">
        <f t="shared" si="25"/>
        <v>Dornik Nadja</v>
      </c>
      <c r="Q278" t="str">
        <f t="shared" si="24"/>
        <v>104855nnadja</v>
      </c>
    </row>
    <row r="279" spans="1:17" hidden="1" x14ac:dyDescent="0.4">
      <c r="A279">
        <v>333</v>
      </c>
      <c r="B279" s="2"/>
      <c r="C279" s="4">
        <v>45908</v>
      </c>
      <c r="D279" s="5">
        <v>0.58333333333333337</v>
      </c>
      <c r="E279" s="5">
        <v>0.64583333333333337</v>
      </c>
      <c r="F279" s="2" t="s">
        <v>9</v>
      </c>
      <c r="G279" s="2" t="s">
        <v>10</v>
      </c>
      <c r="H279" s="2" t="s">
        <v>438</v>
      </c>
      <c r="I279" s="2" t="s">
        <v>439</v>
      </c>
      <c r="J279" s="2">
        <v>104551</v>
      </c>
      <c r="K279" s="2" t="s">
        <v>440</v>
      </c>
      <c r="L279" s="2" t="s">
        <v>14</v>
      </c>
      <c r="M279" t="str">
        <f t="shared" si="25"/>
        <v>Dornik Nadja</v>
      </c>
      <c r="Q279" t="str">
        <f t="shared" si="24"/>
        <v>104551nnadja</v>
      </c>
    </row>
    <row r="280" spans="1:17" hidden="1" x14ac:dyDescent="0.4">
      <c r="A280">
        <v>334</v>
      </c>
      <c r="B280" s="2"/>
      <c r="C280" s="4">
        <v>45908</v>
      </c>
      <c r="D280" s="5">
        <v>0.47916666666666669</v>
      </c>
      <c r="E280" s="5">
        <v>0.54166666666666663</v>
      </c>
      <c r="F280" s="2" t="s">
        <v>9</v>
      </c>
      <c r="G280" s="2" t="s">
        <v>10</v>
      </c>
      <c r="H280" s="2" t="s">
        <v>438</v>
      </c>
      <c r="I280" s="2" t="s">
        <v>439</v>
      </c>
      <c r="J280" s="2">
        <v>104550</v>
      </c>
      <c r="K280" s="2" t="s">
        <v>440</v>
      </c>
      <c r="L280" s="2" t="s">
        <v>14</v>
      </c>
      <c r="M280" t="str">
        <f t="shared" si="25"/>
        <v>Dornik Nadja</v>
      </c>
      <c r="Q280" t="str">
        <f t="shared" si="24"/>
        <v>104550nnadja</v>
      </c>
    </row>
    <row r="281" spans="1:17" hidden="1" x14ac:dyDescent="0.4">
      <c r="A281">
        <v>335</v>
      </c>
      <c r="B281" s="2"/>
      <c r="C281" s="4">
        <v>45908</v>
      </c>
      <c r="D281" s="5">
        <v>0.375</v>
      </c>
      <c r="E281" s="5">
        <v>0.4375</v>
      </c>
      <c r="F281" s="2" t="s">
        <v>9</v>
      </c>
      <c r="G281" s="2" t="s">
        <v>10</v>
      </c>
      <c r="H281" s="2" t="s">
        <v>438</v>
      </c>
      <c r="I281" s="2" t="s">
        <v>439</v>
      </c>
      <c r="J281" s="2">
        <v>102916</v>
      </c>
      <c r="K281" s="2" t="s">
        <v>440</v>
      </c>
      <c r="L281" s="2" t="s">
        <v>14</v>
      </c>
      <c r="M281" t="str">
        <f t="shared" si="25"/>
        <v>Dornik Nadja</v>
      </c>
      <c r="Q281" t="str">
        <f t="shared" si="24"/>
        <v>102916nnadja</v>
      </c>
    </row>
    <row r="282" spans="1:17" hidden="1" x14ac:dyDescent="0.4">
      <c r="A282">
        <v>336</v>
      </c>
      <c r="B282" s="2"/>
      <c r="C282" s="4">
        <v>45909</v>
      </c>
      <c r="D282" s="5">
        <v>0.39583333333333331</v>
      </c>
      <c r="E282" s="5">
        <v>0.47916666666666669</v>
      </c>
      <c r="F282" s="2" t="s">
        <v>9</v>
      </c>
      <c r="G282" s="2" t="s">
        <v>10</v>
      </c>
      <c r="H282" s="2" t="s">
        <v>365</v>
      </c>
      <c r="I282" s="2" t="s">
        <v>366</v>
      </c>
      <c r="J282" s="2">
        <v>104959</v>
      </c>
      <c r="K282" s="2" t="s">
        <v>367</v>
      </c>
      <c r="L282" s="2" t="s">
        <v>18</v>
      </c>
      <c r="M282" t="str">
        <f t="shared" si="25"/>
        <v>Kim Minjae</v>
      </c>
      <c r="Q282" t="str">
        <f t="shared" si="24"/>
        <v>104959mkim</v>
      </c>
    </row>
    <row r="283" spans="1:17" hidden="1" x14ac:dyDescent="0.4">
      <c r="A283">
        <v>337</v>
      </c>
      <c r="B283" s="2"/>
      <c r="C283" s="4">
        <v>45909</v>
      </c>
      <c r="D283" s="5">
        <v>0.39583333333333331</v>
      </c>
      <c r="E283" s="5">
        <v>0.47916666666666669</v>
      </c>
      <c r="F283" s="2" t="s">
        <v>9</v>
      </c>
      <c r="G283" s="2" t="s">
        <v>10</v>
      </c>
      <c r="H283" s="2" t="s">
        <v>427</v>
      </c>
      <c r="I283" s="2" t="s">
        <v>425</v>
      </c>
      <c r="J283" s="2">
        <v>104959</v>
      </c>
      <c r="K283" s="2" t="s">
        <v>428</v>
      </c>
      <c r="L283" s="2" t="s">
        <v>18</v>
      </c>
      <c r="M283" t="str">
        <f>I283 &amp; " " &amp; K283</f>
        <v>Nils Kittel</v>
      </c>
      <c r="Q283" t="str">
        <f t="shared" si="24"/>
        <v>104959nkittel</v>
      </c>
    </row>
    <row r="284" spans="1:17" hidden="1" x14ac:dyDescent="0.4">
      <c r="A284">
        <v>338</v>
      </c>
      <c r="B284" s="2"/>
      <c r="C284" s="4">
        <v>45908</v>
      </c>
      <c r="D284" s="5">
        <v>0.66666666666666663</v>
      </c>
      <c r="E284" s="5">
        <v>0.72916666666666663</v>
      </c>
      <c r="F284" s="2" t="s">
        <v>9</v>
      </c>
      <c r="G284" s="2" t="s">
        <v>10</v>
      </c>
      <c r="H284" s="2" t="s">
        <v>151</v>
      </c>
      <c r="I284" s="2" t="s">
        <v>152</v>
      </c>
      <c r="J284" s="2">
        <v>104855</v>
      </c>
      <c r="K284" s="2" t="s">
        <v>153</v>
      </c>
      <c r="L284" s="2" t="s">
        <v>14</v>
      </c>
      <c r="M284" t="str">
        <f>K284 &amp; " " &amp; I284</f>
        <v>Doumic Elisabeth</v>
      </c>
      <c r="Q284" t="str">
        <f t="shared" si="24"/>
        <v>104855edoumic</v>
      </c>
    </row>
    <row r="285" spans="1:17" hidden="1" x14ac:dyDescent="0.4">
      <c r="A285">
        <v>340</v>
      </c>
      <c r="B285" s="2"/>
      <c r="C285" s="4">
        <v>45908</v>
      </c>
      <c r="D285" s="5">
        <v>0.58333333333333337</v>
      </c>
      <c r="E285" s="5">
        <v>0.64583333333333337</v>
      </c>
      <c r="F285" s="2" t="s">
        <v>9</v>
      </c>
      <c r="G285" s="2" t="s">
        <v>10</v>
      </c>
      <c r="H285" s="2" t="s">
        <v>151</v>
      </c>
      <c r="I285" s="2" t="s">
        <v>152</v>
      </c>
      <c r="J285" s="2">
        <v>104551</v>
      </c>
      <c r="K285" s="2" t="s">
        <v>153</v>
      </c>
      <c r="L285" s="2" t="s">
        <v>14</v>
      </c>
      <c r="M285" t="str">
        <f>K285 &amp; " " &amp; I285</f>
        <v>Doumic Elisabeth</v>
      </c>
      <c r="Q285" t="str">
        <f t="shared" si="24"/>
        <v>104551edoumic</v>
      </c>
    </row>
    <row r="286" spans="1:17" hidden="1" x14ac:dyDescent="0.4">
      <c r="A286">
        <v>341</v>
      </c>
      <c r="B286" s="2"/>
      <c r="C286" s="4">
        <v>45908</v>
      </c>
      <c r="D286" s="5">
        <v>0.47916666666666669</v>
      </c>
      <c r="E286" s="5">
        <v>0.54166666666666663</v>
      </c>
      <c r="F286" s="2" t="s">
        <v>9</v>
      </c>
      <c r="G286" s="2" t="s">
        <v>10</v>
      </c>
      <c r="H286" s="2" t="s">
        <v>151</v>
      </c>
      <c r="I286" s="2" t="s">
        <v>152</v>
      </c>
      <c r="J286" s="2">
        <v>104550</v>
      </c>
      <c r="K286" s="2" t="s">
        <v>153</v>
      </c>
      <c r="L286" s="2" t="s">
        <v>14</v>
      </c>
      <c r="M286" t="str">
        <f>K286 &amp; " " &amp; I286</f>
        <v>Doumic Elisabeth</v>
      </c>
      <c r="Q286" t="str">
        <f t="shared" si="24"/>
        <v>104550edoumic</v>
      </c>
    </row>
    <row r="287" spans="1:17" hidden="1" x14ac:dyDescent="0.4">
      <c r="A287">
        <v>342</v>
      </c>
      <c r="B287" s="2"/>
      <c r="C287" s="4">
        <v>45908</v>
      </c>
      <c r="D287" s="5">
        <v>0.375</v>
      </c>
      <c r="E287" s="5">
        <v>0.4375</v>
      </c>
      <c r="F287" s="2" t="s">
        <v>9</v>
      </c>
      <c r="G287" s="2" t="s">
        <v>10</v>
      </c>
      <c r="H287" s="2" t="s">
        <v>151</v>
      </c>
      <c r="I287" s="2" t="s">
        <v>152</v>
      </c>
      <c r="J287" s="2">
        <v>102916</v>
      </c>
      <c r="K287" s="2" t="s">
        <v>153</v>
      </c>
      <c r="L287" s="2" t="s">
        <v>14</v>
      </c>
      <c r="M287" t="str">
        <f>K287 &amp; " " &amp; I287</f>
        <v>Doumic Elisabeth</v>
      </c>
      <c r="Q287" t="str">
        <f t="shared" si="24"/>
        <v>102916edoumic</v>
      </c>
    </row>
    <row r="288" spans="1:17" hidden="1" x14ac:dyDescent="0.4">
      <c r="A288">
        <v>343</v>
      </c>
      <c r="B288" s="2"/>
      <c r="C288" s="4">
        <v>45909</v>
      </c>
      <c r="D288" s="5">
        <v>0.39583333333333331</v>
      </c>
      <c r="E288" s="5">
        <v>0.47916666666666669</v>
      </c>
      <c r="F288" s="2" t="s">
        <v>9</v>
      </c>
      <c r="G288" s="2" t="s">
        <v>10</v>
      </c>
      <c r="H288" s="2" t="s">
        <v>429</v>
      </c>
      <c r="I288" s="2" t="s">
        <v>430</v>
      </c>
      <c r="J288" s="2">
        <v>104959</v>
      </c>
      <c r="K288" s="2" t="s">
        <v>431</v>
      </c>
      <c r="L288" s="2" t="s">
        <v>18</v>
      </c>
      <c r="M288" t="str">
        <f t="shared" ref="M288:M294" si="26">I288 &amp; " " &amp; K288</f>
        <v>Ninon Lancelot--Mahé</v>
      </c>
      <c r="Q288" t="str">
        <f t="shared" si="24"/>
        <v>104959nlancelotmahe</v>
      </c>
    </row>
    <row r="289" spans="1:17" hidden="1" x14ac:dyDescent="0.4">
      <c r="A289">
        <v>344</v>
      </c>
      <c r="B289" s="2"/>
      <c r="C289" s="4">
        <v>45909</v>
      </c>
      <c r="D289" s="5">
        <v>0.39583333333333331</v>
      </c>
      <c r="E289" s="5">
        <v>0.47916666666666669</v>
      </c>
      <c r="F289" s="2" t="s">
        <v>9</v>
      </c>
      <c r="G289" s="2" t="s">
        <v>10</v>
      </c>
      <c r="H289" s="2" t="s">
        <v>519</v>
      </c>
      <c r="I289" s="2" t="s">
        <v>520</v>
      </c>
      <c r="J289" s="2">
        <v>104959</v>
      </c>
      <c r="K289" s="2" t="s">
        <v>521</v>
      </c>
      <c r="L289" s="2" t="s">
        <v>18</v>
      </c>
      <c r="M289" t="str">
        <f t="shared" si="26"/>
        <v>Sacha Laquay--Eudine</v>
      </c>
      <c r="Q289" t="str">
        <f t="shared" si="24"/>
        <v>104959slaquayeudine</v>
      </c>
    </row>
    <row r="290" spans="1:17" hidden="1" x14ac:dyDescent="0.4">
      <c r="A290">
        <v>345</v>
      </c>
      <c r="B290" s="2"/>
      <c r="C290" s="4">
        <v>45908</v>
      </c>
      <c r="D290" s="5">
        <v>0.66666666666666663</v>
      </c>
      <c r="E290" s="5">
        <v>0.72916666666666663</v>
      </c>
      <c r="F290" s="2" t="s">
        <v>9</v>
      </c>
      <c r="G290" s="2" t="s">
        <v>10</v>
      </c>
      <c r="H290" s="2" t="s">
        <v>272</v>
      </c>
      <c r="I290" s="2" t="s">
        <v>273</v>
      </c>
      <c r="J290" s="2">
        <v>104855</v>
      </c>
      <c r="K290" s="2" t="s">
        <v>274</v>
      </c>
      <c r="L290" s="2" t="s">
        <v>18</v>
      </c>
      <c r="M290" t="str">
        <f t="shared" si="26"/>
        <v>Jules Doursout</v>
      </c>
      <c r="Q290" t="str">
        <f t="shared" si="24"/>
        <v>104855jdoursout</v>
      </c>
    </row>
    <row r="291" spans="1:17" hidden="1" x14ac:dyDescent="0.4">
      <c r="A291">
        <v>347</v>
      </c>
      <c r="B291" s="2"/>
      <c r="C291" s="4">
        <v>45908</v>
      </c>
      <c r="D291" s="5">
        <v>0.58333333333333337</v>
      </c>
      <c r="E291" s="5">
        <v>0.64583333333333337</v>
      </c>
      <c r="F291" s="2" t="s">
        <v>9</v>
      </c>
      <c r="G291" s="2" t="s">
        <v>10</v>
      </c>
      <c r="H291" s="2" t="s">
        <v>272</v>
      </c>
      <c r="I291" s="2" t="s">
        <v>273</v>
      </c>
      <c r="J291" s="2">
        <v>104551</v>
      </c>
      <c r="K291" s="2" t="s">
        <v>274</v>
      </c>
      <c r="L291" s="2" t="s">
        <v>18</v>
      </c>
      <c r="M291" t="str">
        <f t="shared" si="26"/>
        <v>Jules Doursout</v>
      </c>
      <c r="Q291" t="str">
        <f t="shared" si="24"/>
        <v>104551jdoursout</v>
      </c>
    </row>
    <row r="292" spans="1:17" hidden="1" x14ac:dyDescent="0.4">
      <c r="A292">
        <v>348</v>
      </c>
      <c r="B292" s="2"/>
      <c r="C292" s="4">
        <v>45908</v>
      </c>
      <c r="D292" s="5">
        <v>0.47916666666666669</v>
      </c>
      <c r="E292" s="5">
        <v>0.54166666666666663</v>
      </c>
      <c r="F292" s="2" t="s">
        <v>9</v>
      </c>
      <c r="G292" s="2" t="s">
        <v>10</v>
      </c>
      <c r="H292" s="2" t="s">
        <v>272</v>
      </c>
      <c r="I292" s="2" t="s">
        <v>273</v>
      </c>
      <c r="J292" s="2">
        <v>104550</v>
      </c>
      <c r="K292" s="2" t="s">
        <v>274</v>
      </c>
      <c r="L292" s="2" t="s">
        <v>18</v>
      </c>
      <c r="M292" t="str">
        <f t="shared" si="26"/>
        <v>Jules Doursout</v>
      </c>
      <c r="Q292" t="str">
        <f t="shared" si="24"/>
        <v>104550jdoursout</v>
      </c>
    </row>
    <row r="293" spans="1:17" hidden="1" x14ac:dyDescent="0.4">
      <c r="A293">
        <v>349</v>
      </c>
      <c r="B293" s="2"/>
      <c r="C293" s="4">
        <v>45908</v>
      </c>
      <c r="D293" s="5">
        <v>0.375</v>
      </c>
      <c r="E293" s="5">
        <v>0.4375</v>
      </c>
      <c r="F293" s="2" t="s">
        <v>9</v>
      </c>
      <c r="G293" s="2" t="s">
        <v>10</v>
      </c>
      <c r="H293" s="2" t="s">
        <v>272</v>
      </c>
      <c r="I293" s="2" t="s">
        <v>273</v>
      </c>
      <c r="J293" s="2">
        <v>102916</v>
      </c>
      <c r="K293" s="2" t="s">
        <v>274</v>
      </c>
      <c r="L293" s="2" t="s">
        <v>18</v>
      </c>
      <c r="M293" t="str">
        <f t="shared" si="26"/>
        <v>Jules Doursout</v>
      </c>
      <c r="Q293" t="str">
        <f t="shared" si="24"/>
        <v>102916jdoursout</v>
      </c>
    </row>
    <row r="294" spans="1:17" hidden="1" x14ac:dyDescent="0.4">
      <c r="A294">
        <v>350</v>
      </c>
      <c r="B294" s="2"/>
      <c r="C294" s="4">
        <v>45909</v>
      </c>
      <c r="D294" s="5">
        <v>0.39583333333333331</v>
      </c>
      <c r="E294" s="5">
        <v>0.47916666666666669</v>
      </c>
      <c r="F294" s="2" t="s">
        <v>9</v>
      </c>
      <c r="G294" s="2" t="s">
        <v>10</v>
      </c>
      <c r="H294" s="2" t="s">
        <v>432</v>
      </c>
      <c r="I294" s="2" t="s">
        <v>433</v>
      </c>
      <c r="J294" s="2">
        <v>104959</v>
      </c>
      <c r="K294" s="2" t="s">
        <v>434</v>
      </c>
      <c r="L294" s="2" t="s">
        <v>18</v>
      </c>
      <c r="M294" t="str">
        <f t="shared" si="26"/>
        <v>Noémie Lastère</v>
      </c>
      <c r="Q294" t="str">
        <f t="shared" si="24"/>
        <v>104959nlastere</v>
      </c>
    </row>
    <row r="295" spans="1:17" hidden="1" x14ac:dyDescent="0.4">
      <c r="A295">
        <v>351</v>
      </c>
      <c r="B295" s="2"/>
      <c r="C295" s="4">
        <v>45909</v>
      </c>
      <c r="D295" s="5">
        <v>0.39583333333333331</v>
      </c>
      <c r="E295" s="5">
        <v>0.47916666666666669</v>
      </c>
      <c r="F295" s="2" t="s">
        <v>9</v>
      </c>
      <c r="G295" s="2" t="s">
        <v>10</v>
      </c>
      <c r="H295" s="2" t="s">
        <v>134</v>
      </c>
      <c r="I295" s="2" t="s">
        <v>135</v>
      </c>
      <c r="J295" s="2">
        <v>104959</v>
      </c>
      <c r="K295" s="2" t="s">
        <v>136</v>
      </c>
      <c r="L295" s="2" t="s">
        <v>14</v>
      </c>
      <c r="M295" t="str">
        <f>K295 &amp; " " &amp; I295</f>
        <v>Lau Dimitri</v>
      </c>
      <c r="Q295" t="str">
        <f t="shared" si="24"/>
        <v>104959dlau</v>
      </c>
    </row>
    <row r="296" spans="1:17" hidden="1" x14ac:dyDescent="0.4">
      <c r="A296">
        <v>352</v>
      </c>
      <c r="B296" s="2"/>
      <c r="C296" s="4">
        <v>45908</v>
      </c>
      <c r="D296" s="5">
        <v>0.66666666666666663</v>
      </c>
      <c r="E296" s="5">
        <v>0.72916666666666663</v>
      </c>
      <c r="F296" s="2" t="s">
        <v>9</v>
      </c>
      <c r="G296" s="2" t="s">
        <v>10</v>
      </c>
      <c r="H296" s="2" t="s">
        <v>275</v>
      </c>
      <c r="I296" s="2" t="s">
        <v>276</v>
      </c>
      <c r="J296" s="2">
        <v>104855</v>
      </c>
      <c r="K296" s="2" t="s">
        <v>277</v>
      </c>
      <c r="L296" s="2" t="s">
        <v>18</v>
      </c>
      <c r="M296" t="str">
        <f>I296 &amp; " " &amp; K296</f>
        <v>Jingrun du</v>
      </c>
      <c r="Q296" t="str">
        <f t="shared" si="24"/>
        <v>104855jdu</v>
      </c>
    </row>
    <row r="297" spans="1:17" hidden="1" x14ac:dyDescent="0.4">
      <c r="A297">
        <v>354</v>
      </c>
      <c r="B297" s="2"/>
      <c r="C297" s="4">
        <v>45908</v>
      </c>
      <c r="D297" s="5">
        <v>0.58333333333333337</v>
      </c>
      <c r="E297" s="5">
        <v>0.64583333333333337</v>
      </c>
      <c r="F297" s="2" t="s">
        <v>9</v>
      </c>
      <c r="G297" s="2" t="s">
        <v>10</v>
      </c>
      <c r="H297" s="2" t="s">
        <v>275</v>
      </c>
      <c r="I297" s="2" t="s">
        <v>276</v>
      </c>
      <c r="J297" s="2">
        <v>104551</v>
      </c>
      <c r="K297" s="2" t="s">
        <v>277</v>
      </c>
      <c r="L297" s="2" t="s">
        <v>18</v>
      </c>
      <c r="M297" t="str">
        <f>I297 &amp; " " &amp; K297</f>
        <v>Jingrun du</v>
      </c>
      <c r="Q297" t="str">
        <f t="shared" si="24"/>
        <v>104551jdu</v>
      </c>
    </row>
    <row r="298" spans="1:17" hidden="1" x14ac:dyDescent="0.4">
      <c r="A298">
        <v>355</v>
      </c>
      <c r="B298" s="2"/>
      <c r="C298" s="4">
        <v>45908</v>
      </c>
      <c r="D298" s="5">
        <v>0.47916666666666669</v>
      </c>
      <c r="E298" s="5">
        <v>0.54166666666666663</v>
      </c>
      <c r="F298" s="2" t="s">
        <v>9</v>
      </c>
      <c r="G298" s="2" t="s">
        <v>10</v>
      </c>
      <c r="H298" s="2" t="s">
        <v>275</v>
      </c>
      <c r="I298" s="2" t="s">
        <v>276</v>
      </c>
      <c r="J298" s="2">
        <v>104550</v>
      </c>
      <c r="K298" s="2" t="s">
        <v>277</v>
      </c>
      <c r="L298" s="2" t="s">
        <v>14</v>
      </c>
      <c r="M298" t="str">
        <f>K298 &amp; " " &amp; I298</f>
        <v>du Jingrun</v>
      </c>
      <c r="Q298" t="str">
        <f t="shared" si="24"/>
        <v>104550jdu</v>
      </c>
    </row>
    <row r="299" spans="1:17" hidden="1" x14ac:dyDescent="0.4">
      <c r="A299">
        <v>356</v>
      </c>
      <c r="B299" s="2"/>
      <c r="C299" s="4">
        <v>45908</v>
      </c>
      <c r="D299" s="5">
        <v>0.375</v>
      </c>
      <c r="E299" s="5">
        <v>0.4375</v>
      </c>
      <c r="F299" s="2" t="s">
        <v>9</v>
      </c>
      <c r="G299" s="2" t="s">
        <v>10</v>
      </c>
      <c r="H299" s="2" t="s">
        <v>275</v>
      </c>
      <c r="I299" s="2" t="s">
        <v>276</v>
      </c>
      <c r="J299" s="2">
        <v>102916</v>
      </c>
      <c r="K299" s="2" t="s">
        <v>277</v>
      </c>
      <c r="L299" s="2" t="s">
        <v>18</v>
      </c>
      <c r="M299" t="str">
        <f t="shared" ref="M299:M304" si="27">I299 &amp; " " &amp; K299</f>
        <v>Jingrun du</v>
      </c>
      <c r="Q299" t="str">
        <f t="shared" si="24"/>
        <v>102916jdu</v>
      </c>
    </row>
    <row r="300" spans="1:17" hidden="1" x14ac:dyDescent="0.4">
      <c r="A300">
        <v>357</v>
      </c>
      <c r="B300" s="2"/>
      <c r="C300" s="4">
        <v>45909</v>
      </c>
      <c r="D300" s="5">
        <v>0.39583333333333331</v>
      </c>
      <c r="E300" s="5">
        <v>0.47916666666666669</v>
      </c>
      <c r="F300" s="2" t="s">
        <v>9</v>
      </c>
      <c r="G300" s="2" t="s">
        <v>10</v>
      </c>
      <c r="H300" s="2" t="s">
        <v>368</v>
      </c>
      <c r="I300" s="2" t="s">
        <v>369</v>
      </c>
      <c r="J300" s="2">
        <v>104959</v>
      </c>
      <c r="K300" s="2" t="s">
        <v>370</v>
      </c>
      <c r="L300" s="2" t="s">
        <v>18</v>
      </c>
      <c r="M300" t="str">
        <f t="shared" si="27"/>
        <v>Maelys Lauriac</v>
      </c>
      <c r="Q300" t="str">
        <f t="shared" si="24"/>
        <v>104959mlauriac</v>
      </c>
    </row>
    <row r="301" spans="1:17" hidden="1" x14ac:dyDescent="0.4">
      <c r="A301">
        <v>358</v>
      </c>
      <c r="B301" s="2"/>
      <c r="C301" s="4">
        <v>45909</v>
      </c>
      <c r="D301" s="5">
        <v>0.39583333333333331</v>
      </c>
      <c r="E301" s="5">
        <v>0.47916666666666669</v>
      </c>
      <c r="F301" s="2" t="s">
        <v>9</v>
      </c>
      <c r="G301" s="2" t="s">
        <v>10</v>
      </c>
      <c r="H301" s="2" t="s">
        <v>325</v>
      </c>
      <c r="I301" s="2" t="s">
        <v>313</v>
      </c>
      <c r="J301" s="2">
        <v>104959</v>
      </c>
      <c r="K301" s="2" t="s">
        <v>326</v>
      </c>
      <c r="L301" s="2" t="s">
        <v>18</v>
      </c>
      <c r="M301" t="str">
        <f t="shared" si="27"/>
        <v>Louis Le Lay--Jardin</v>
      </c>
      <c r="Q301" t="str">
        <f t="shared" si="24"/>
        <v>104959llelayjardin</v>
      </c>
    </row>
    <row r="302" spans="1:17" hidden="1" x14ac:dyDescent="0.4">
      <c r="A302">
        <v>359</v>
      </c>
      <c r="B302" s="2"/>
      <c r="C302" s="4">
        <v>45908</v>
      </c>
      <c r="D302" s="5">
        <v>0.66666666666666663</v>
      </c>
      <c r="E302" s="5">
        <v>0.72916666666666663</v>
      </c>
      <c r="F302" s="2" t="s">
        <v>9</v>
      </c>
      <c r="G302" s="2" t="s">
        <v>10</v>
      </c>
      <c r="H302" s="2" t="s">
        <v>418</v>
      </c>
      <c r="I302" s="2" t="s">
        <v>419</v>
      </c>
      <c r="J302" s="2">
        <v>104855</v>
      </c>
      <c r="K302" s="2" t="s">
        <v>420</v>
      </c>
      <c r="L302" s="2" t="s">
        <v>18</v>
      </c>
      <c r="M302" t="str">
        <f t="shared" si="27"/>
        <v>Noam Duboille</v>
      </c>
      <c r="Q302" t="str">
        <f t="shared" si="24"/>
        <v>104855nduboille</v>
      </c>
    </row>
    <row r="303" spans="1:17" hidden="1" x14ac:dyDescent="0.4">
      <c r="A303">
        <v>361</v>
      </c>
      <c r="B303" s="2"/>
      <c r="C303" s="4">
        <v>45908</v>
      </c>
      <c r="D303" s="5">
        <v>0.58333333333333337</v>
      </c>
      <c r="E303" s="5">
        <v>0.64583333333333337</v>
      </c>
      <c r="F303" s="2" t="s">
        <v>9</v>
      </c>
      <c r="G303" s="2" t="s">
        <v>10</v>
      </c>
      <c r="H303" s="2" t="s">
        <v>418</v>
      </c>
      <c r="I303" s="2" t="s">
        <v>419</v>
      </c>
      <c r="J303" s="2">
        <v>104551</v>
      </c>
      <c r="K303" s="2" t="s">
        <v>420</v>
      </c>
      <c r="L303" s="2" t="s">
        <v>18</v>
      </c>
      <c r="M303" t="str">
        <f t="shared" si="27"/>
        <v>Noam Duboille</v>
      </c>
      <c r="Q303" t="str">
        <f t="shared" si="24"/>
        <v>104551nduboille</v>
      </c>
    </row>
    <row r="304" spans="1:17" hidden="1" x14ac:dyDescent="0.4">
      <c r="A304">
        <v>362</v>
      </c>
      <c r="B304" s="2"/>
      <c r="C304" s="4">
        <v>45908</v>
      </c>
      <c r="D304" s="5">
        <v>0.47916666666666669</v>
      </c>
      <c r="E304" s="5">
        <v>0.54166666666666663</v>
      </c>
      <c r="F304" s="2" t="s">
        <v>9</v>
      </c>
      <c r="G304" s="2" t="s">
        <v>10</v>
      </c>
      <c r="H304" s="2" t="s">
        <v>418</v>
      </c>
      <c r="I304" s="2" t="s">
        <v>419</v>
      </c>
      <c r="J304" s="2">
        <v>104550</v>
      </c>
      <c r="K304" s="2" t="s">
        <v>420</v>
      </c>
      <c r="L304" s="2" t="s">
        <v>18</v>
      </c>
      <c r="M304" t="str">
        <f t="shared" si="27"/>
        <v>Noam Duboille</v>
      </c>
      <c r="Q304" t="str">
        <f t="shared" si="24"/>
        <v>104550nduboille</v>
      </c>
    </row>
    <row r="305" spans="1:17" hidden="1" x14ac:dyDescent="0.4">
      <c r="A305">
        <v>363</v>
      </c>
      <c r="B305" s="2"/>
      <c r="C305" s="4">
        <v>45908</v>
      </c>
      <c r="D305" s="5">
        <v>0.375</v>
      </c>
      <c r="E305" s="5">
        <v>0.4375</v>
      </c>
      <c r="F305" s="2" t="s">
        <v>9</v>
      </c>
      <c r="G305" s="2" t="s">
        <v>10</v>
      </c>
      <c r="H305" s="2" t="s">
        <v>418</v>
      </c>
      <c r="I305" s="2" t="s">
        <v>419</v>
      </c>
      <c r="J305" s="2">
        <v>102916</v>
      </c>
      <c r="K305" s="2" t="s">
        <v>420</v>
      </c>
      <c r="L305" s="2" t="s">
        <v>18</v>
      </c>
      <c r="M305" t="str">
        <f>K305 &amp; " " &amp; I305</f>
        <v>Duboille Noam</v>
      </c>
      <c r="Q305" t="str">
        <f t="shared" si="24"/>
        <v>102916nduboille</v>
      </c>
    </row>
    <row r="306" spans="1:17" hidden="1" x14ac:dyDescent="0.4">
      <c r="A306">
        <v>364</v>
      </c>
      <c r="B306" s="2"/>
      <c r="C306" s="4">
        <v>45909</v>
      </c>
      <c r="D306" s="5">
        <v>0.39583333333333331</v>
      </c>
      <c r="E306" s="5">
        <v>0.47916666666666669</v>
      </c>
      <c r="F306" s="2" t="s">
        <v>9</v>
      </c>
      <c r="G306" s="2" t="s">
        <v>10</v>
      </c>
      <c r="H306" s="2" t="s">
        <v>522</v>
      </c>
      <c r="I306" s="2" t="s">
        <v>523</v>
      </c>
      <c r="J306" s="2">
        <v>104959</v>
      </c>
      <c r="K306" s="2" t="s">
        <v>524</v>
      </c>
      <c r="L306" s="2" t="s">
        <v>18</v>
      </c>
      <c r="M306" t="str">
        <f>I306 &amp; " " &amp; K306</f>
        <v>Sarah Leblanc - - La Rosa</v>
      </c>
      <c r="Q306" t="str">
        <f t="shared" si="24"/>
        <v>104959sleblanclarosa</v>
      </c>
    </row>
    <row r="307" spans="1:17" hidden="1" x14ac:dyDescent="0.4">
      <c r="A307">
        <v>365</v>
      </c>
      <c r="B307" s="2"/>
      <c r="C307" s="4">
        <v>45909</v>
      </c>
      <c r="D307" s="5">
        <v>0.39583333333333331</v>
      </c>
      <c r="E307" s="5">
        <v>0.47916666666666669</v>
      </c>
      <c r="F307" s="2" t="s">
        <v>9</v>
      </c>
      <c r="G307" s="2" t="s">
        <v>10</v>
      </c>
      <c r="H307" s="2" t="s">
        <v>499</v>
      </c>
      <c r="I307" s="2" t="s">
        <v>500</v>
      </c>
      <c r="J307" s="2">
        <v>104959</v>
      </c>
      <c r="K307" s="2" t="s">
        <v>501</v>
      </c>
      <c r="L307" s="2" t="s">
        <v>18</v>
      </c>
      <c r="M307" t="str">
        <f>I307 &amp; " " &amp; K307</f>
        <v>Robin Leblond</v>
      </c>
      <c r="Q307" t="str">
        <f t="shared" si="24"/>
        <v>104959rleblond</v>
      </c>
    </row>
    <row r="308" spans="1:17" hidden="1" x14ac:dyDescent="0.4">
      <c r="A308">
        <v>366</v>
      </c>
      <c r="B308" s="2"/>
      <c r="C308" s="4">
        <v>45908</v>
      </c>
      <c r="D308" s="5">
        <v>0.66666666666666663</v>
      </c>
      <c r="E308" s="5">
        <v>0.72916666666666663</v>
      </c>
      <c r="F308" s="2" t="s">
        <v>9</v>
      </c>
      <c r="G308" s="2" t="s">
        <v>10</v>
      </c>
      <c r="H308" s="2" t="s">
        <v>306</v>
      </c>
      <c r="I308" s="2" t="s">
        <v>307</v>
      </c>
      <c r="J308" s="2">
        <v>104855</v>
      </c>
      <c r="K308" s="2" t="s">
        <v>308</v>
      </c>
      <c r="L308" s="2" t="s">
        <v>14</v>
      </c>
      <c r="M308" t="str">
        <f>K308 &amp; " " &amp; I308</f>
        <v>Dutreix Lou Anne</v>
      </c>
      <c r="Q308" t="str">
        <f t="shared" si="24"/>
        <v>104855ladutreix</v>
      </c>
    </row>
    <row r="309" spans="1:17" hidden="1" x14ac:dyDescent="0.4">
      <c r="A309">
        <v>368</v>
      </c>
      <c r="B309" s="2"/>
      <c r="C309" s="4">
        <v>45908</v>
      </c>
      <c r="D309" s="5">
        <v>0.58333333333333337</v>
      </c>
      <c r="E309" s="5">
        <v>0.64583333333333337</v>
      </c>
      <c r="F309" s="2" t="s">
        <v>9</v>
      </c>
      <c r="G309" s="2" t="s">
        <v>10</v>
      </c>
      <c r="H309" s="2" t="s">
        <v>306</v>
      </c>
      <c r="I309" s="2" t="s">
        <v>307</v>
      </c>
      <c r="J309" s="2">
        <v>104551</v>
      </c>
      <c r="K309" s="2" t="s">
        <v>308</v>
      </c>
      <c r="L309" s="2" t="s">
        <v>14</v>
      </c>
      <c r="M309" t="str">
        <f>K309 &amp; " " &amp; I309</f>
        <v>Dutreix Lou Anne</v>
      </c>
      <c r="Q309" t="str">
        <f t="shared" si="24"/>
        <v>104551ladutreix</v>
      </c>
    </row>
    <row r="310" spans="1:17" hidden="1" x14ac:dyDescent="0.4">
      <c r="A310">
        <v>369</v>
      </c>
      <c r="B310" s="2"/>
      <c r="C310" s="4">
        <v>45908</v>
      </c>
      <c r="D310" s="5">
        <v>0.47916666666666669</v>
      </c>
      <c r="E310" s="5">
        <v>0.54166666666666663</v>
      </c>
      <c r="F310" s="2" t="s">
        <v>9</v>
      </c>
      <c r="G310" s="2" t="s">
        <v>10</v>
      </c>
      <c r="H310" s="2" t="s">
        <v>306</v>
      </c>
      <c r="I310" s="2" t="s">
        <v>307</v>
      </c>
      <c r="J310" s="2">
        <v>104550</v>
      </c>
      <c r="K310" s="2" t="s">
        <v>308</v>
      </c>
      <c r="L310" s="2" t="s">
        <v>14</v>
      </c>
      <c r="M310" t="str">
        <f>K310 &amp; " " &amp; I310</f>
        <v>Dutreix Lou Anne</v>
      </c>
      <c r="Q310" t="str">
        <f t="shared" si="24"/>
        <v>104550ladutreix</v>
      </c>
    </row>
    <row r="311" spans="1:17" hidden="1" x14ac:dyDescent="0.4">
      <c r="A311">
        <v>370</v>
      </c>
      <c r="B311" s="2"/>
      <c r="C311" s="4">
        <v>45908</v>
      </c>
      <c r="D311" s="5">
        <v>0.375</v>
      </c>
      <c r="E311" s="5">
        <v>0.4375</v>
      </c>
      <c r="F311" s="2" t="s">
        <v>9</v>
      </c>
      <c r="G311" s="2" t="s">
        <v>10</v>
      </c>
      <c r="H311" s="2" t="s">
        <v>306</v>
      </c>
      <c r="I311" s="2" t="s">
        <v>307</v>
      </c>
      <c r="J311" s="2">
        <v>102916</v>
      </c>
      <c r="K311" s="2" t="s">
        <v>308</v>
      </c>
      <c r="L311" s="2" t="s">
        <v>14</v>
      </c>
      <c r="M311" t="str">
        <f>K311 &amp; " " &amp; I311</f>
        <v>Dutreix Lou Anne</v>
      </c>
      <c r="Q311" t="str">
        <f t="shared" si="24"/>
        <v>102916ladutreix</v>
      </c>
    </row>
    <row r="312" spans="1:17" hidden="1" x14ac:dyDescent="0.4">
      <c r="A312">
        <v>371</v>
      </c>
      <c r="B312" s="2"/>
      <c r="C312" s="4">
        <v>45909</v>
      </c>
      <c r="D312" s="5">
        <v>0.39583333333333331</v>
      </c>
      <c r="E312" s="5">
        <v>0.47916666666666669</v>
      </c>
      <c r="F312" s="2" t="s">
        <v>9</v>
      </c>
      <c r="G312" s="2" t="s">
        <v>10</v>
      </c>
      <c r="H312" s="2" t="s">
        <v>502</v>
      </c>
      <c r="I312" s="2" t="s">
        <v>503</v>
      </c>
      <c r="J312" s="2">
        <v>104959</v>
      </c>
      <c r="K312" s="2" t="s">
        <v>504</v>
      </c>
      <c r="L312" s="2" t="s">
        <v>18</v>
      </c>
      <c r="M312" t="str">
        <f t="shared" ref="M312:M319" si="28">I312 &amp; " " &amp; K312</f>
        <v>Romane Leleu</v>
      </c>
      <c r="Q312" t="str">
        <f t="shared" si="24"/>
        <v>104959rleleu1</v>
      </c>
    </row>
    <row r="313" spans="1:17" hidden="1" x14ac:dyDescent="0.4">
      <c r="A313">
        <v>372</v>
      </c>
      <c r="B313" s="2"/>
      <c r="C313" s="4">
        <v>45909</v>
      </c>
      <c r="D313" s="5">
        <v>0.39583333333333331</v>
      </c>
      <c r="E313" s="5">
        <v>0.47916666666666669</v>
      </c>
      <c r="F313" s="2" t="s">
        <v>9</v>
      </c>
      <c r="G313" s="2" t="s">
        <v>10</v>
      </c>
      <c r="H313" s="2" t="s">
        <v>566</v>
      </c>
      <c r="I313" s="2" t="s">
        <v>567</v>
      </c>
      <c r="J313" s="2">
        <v>104959</v>
      </c>
      <c r="K313" s="2" t="s">
        <v>568</v>
      </c>
      <c r="L313" s="2" t="s">
        <v>18</v>
      </c>
      <c r="M313" t="str">
        <f t="shared" si="28"/>
        <v>Théo Lemaire</v>
      </c>
      <c r="Q313" t="str">
        <f t="shared" si="24"/>
        <v>104959tlemaire</v>
      </c>
    </row>
    <row r="314" spans="1:17" hidden="1" x14ac:dyDescent="0.4">
      <c r="A314">
        <v>373</v>
      </c>
      <c r="B314" s="2"/>
      <c r="C314" s="4">
        <v>45908</v>
      </c>
      <c r="D314" s="5">
        <v>0.66666666666666663</v>
      </c>
      <c r="E314" s="5">
        <v>0.72916666666666663</v>
      </c>
      <c r="F314" s="2" t="s">
        <v>9</v>
      </c>
      <c r="G314" s="2" t="s">
        <v>10</v>
      </c>
      <c r="H314" s="2" t="s">
        <v>39</v>
      </c>
      <c r="I314" s="2" t="s">
        <v>40</v>
      </c>
      <c r="J314" s="2">
        <v>104855</v>
      </c>
      <c r="K314" s="2" t="s">
        <v>41</v>
      </c>
      <c r="L314" s="2" t="s">
        <v>18</v>
      </c>
      <c r="M314" t="str">
        <f t="shared" si="28"/>
        <v>Aseman Esmaeilzadeh</v>
      </c>
      <c r="Q314" t="str">
        <f t="shared" si="24"/>
        <v>104855aesmaeilzadeh</v>
      </c>
    </row>
    <row r="315" spans="1:17" hidden="1" x14ac:dyDescent="0.4">
      <c r="A315">
        <v>375</v>
      </c>
      <c r="B315" s="2"/>
      <c r="C315" s="4">
        <v>45908</v>
      </c>
      <c r="D315" s="5">
        <v>0.58333333333333337</v>
      </c>
      <c r="E315" s="5">
        <v>0.64583333333333337</v>
      </c>
      <c r="F315" s="2" t="s">
        <v>9</v>
      </c>
      <c r="G315" s="2" t="s">
        <v>10</v>
      </c>
      <c r="H315" s="2" t="s">
        <v>39</v>
      </c>
      <c r="I315" s="2" t="s">
        <v>40</v>
      </c>
      <c r="J315" s="2">
        <v>104551</v>
      </c>
      <c r="K315" s="2" t="s">
        <v>41</v>
      </c>
      <c r="L315" s="2" t="s">
        <v>18</v>
      </c>
      <c r="M315" t="str">
        <f t="shared" si="28"/>
        <v>Aseman Esmaeilzadeh</v>
      </c>
      <c r="Q315" t="str">
        <f t="shared" si="24"/>
        <v>104551aesmaeilzadeh</v>
      </c>
    </row>
    <row r="316" spans="1:17" hidden="1" x14ac:dyDescent="0.4">
      <c r="A316">
        <v>376</v>
      </c>
      <c r="B316" s="2"/>
      <c r="C316" s="4">
        <v>45908</v>
      </c>
      <c r="D316" s="5">
        <v>0.47916666666666669</v>
      </c>
      <c r="E316" s="5">
        <v>0.54166666666666663</v>
      </c>
      <c r="F316" s="2" t="s">
        <v>9</v>
      </c>
      <c r="G316" s="2" t="s">
        <v>10</v>
      </c>
      <c r="H316" s="2" t="s">
        <v>39</v>
      </c>
      <c r="I316" s="2" t="s">
        <v>40</v>
      </c>
      <c r="J316" s="2">
        <v>104550</v>
      </c>
      <c r="K316" s="2" t="s">
        <v>41</v>
      </c>
      <c r="L316" s="2" t="s">
        <v>18</v>
      </c>
      <c r="M316" t="str">
        <f t="shared" si="28"/>
        <v>Aseman Esmaeilzadeh</v>
      </c>
      <c r="Q316" t="str">
        <f t="shared" si="24"/>
        <v>104550aesmaeilzadeh</v>
      </c>
    </row>
    <row r="317" spans="1:17" hidden="1" x14ac:dyDescent="0.4">
      <c r="A317">
        <v>377</v>
      </c>
      <c r="B317" s="2"/>
      <c r="C317" s="4">
        <v>45908</v>
      </c>
      <c r="D317" s="5">
        <v>0.375</v>
      </c>
      <c r="E317" s="5">
        <v>0.4375</v>
      </c>
      <c r="F317" s="2" t="s">
        <v>9</v>
      </c>
      <c r="G317" s="2" t="s">
        <v>10</v>
      </c>
      <c r="H317" s="2" t="s">
        <v>39</v>
      </c>
      <c r="I317" s="2" t="s">
        <v>40</v>
      </c>
      <c r="J317" s="2">
        <v>102916</v>
      </c>
      <c r="K317" s="2" t="s">
        <v>41</v>
      </c>
      <c r="L317" s="2" t="s">
        <v>18</v>
      </c>
      <c r="M317" t="str">
        <f t="shared" si="28"/>
        <v>Aseman Esmaeilzadeh</v>
      </c>
      <c r="Q317" t="str">
        <f t="shared" si="24"/>
        <v>102916aesmaeilzadeh</v>
      </c>
    </row>
    <row r="318" spans="1:17" hidden="1" x14ac:dyDescent="0.4">
      <c r="A318">
        <v>378</v>
      </c>
      <c r="B318" s="2"/>
      <c r="C318" s="4">
        <v>45909</v>
      </c>
      <c r="D318" s="5">
        <v>0.39583333333333331</v>
      </c>
      <c r="E318" s="5">
        <v>0.47916666666666669</v>
      </c>
      <c r="F318" s="2" t="s">
        <v>9</v>
      </c>
      <c r="G318" s="2" t="s">
        <v>10</v>
      </c>
      <c r="H318" s="2" t="s">
        <v>264</v>
      </c>
      <c r="I318" s="2" t="s">
        <v>262</v>
      </c>
      <c r="J318" s="2">
        <v>104959</v>
      </c>
      <c r="K318" s="2" t="s">
        <v>265</v>
      </c>
      <c r="L318" s="2" t="s">
        <v>18</v>
      </c>
      <c r="M318" t="str">
        <f t="shared" si="28"/>
        <v>Jean-Baptiste Lemoine</v>
      </c>
      <c r="Q318" t="str">
        <f t="shared" si="24"/>
        <v>104959jblemoine</v>
      </c>
    </row>
    <row r="319" spans="1:17" hidden="1" x14ac:dyDescent="0.4">
      <c r="A319">
        <v>379</v>
      </c>
      <c r="B319" s="2"/>
      <c r="C319" s="4">
        <v>45909</v>
      </c>
      <c r="D319" s="5">
        <v>0.39583333333333331</v>
      </c>
      <c r="E319" s="5">
        <v>0.47916666666666669</v>
      </c>
      <c r="F319" s="2" t="s">
        <v>9</v>
      </c>
      <c r="G319" s="2" t="s">
        <v>10</v>
      </c>
      <c r="H319" s="2" t="s">
        <v>327</v>
      </c>
      <c r="I319" s="2" t="s">
        <v>328</v>
      </c>
      <c r="J319" s="2">
        <v>104959</v>
      </c>
      <c r="K319" s="2" t="s">
        <v>329</v>
      </c>
      <c r="L319" s="2" t="s">
        <v>18</v>
      </c>
      <c r="M319" t="str">
        <f t="shared" si="28"/>
        <v>Lior Leneman</v>
      </c>
      <c r="Q319" t="str">
        <f t="shared" si="24"/>
        <v>104959lleneman</v>
      </c>
    </row>
    <row r="320" spans="1:17" hidden="1" x14ac:dyDescent="0.4">
      <c r="A320">
        <v>381</v>
      </c>
      <c r="B320" s="2"/>
      <c r="C320" s="4">
        <v>45908</v>
      </c>
      <c r="D320" s="5">
        <v>0.66666666666666663</v>
      </c>
      <c r="E320" s="5">
        <v>0.72916666666666663</v>
      </c>
      <c r="F320" s="2" t="s">
        <v>9</v>
      </c>
      <c r="G320" s="2" t="s">
        <v>10</v>
      </c>
      <c r="H320" s="2" t="s">
        <v>585</v>
      </c>
      <c r="I320" s="2" t="s">
        <v>586</v>
      </c>
      <c r="J320" s="2">
        <v>104855</v>
      </c>
      <c r="K320" s="2" t="s">
        <v>587</v>
      </c>
      <c r="L320" s="2" t="s">
        <v>14</v>
      </c>
      <c r="M320" t="str">
        <f t="shared" ref="M320:M323" si="29">K320 &amp; " " &amp; I320</f>
        <v>Esnault Violette</v>
      </c>
      <c r="Q320" t="str">
        <f t="shared" si="24"/>
        <v>104855vesnault</v>
      </c>
    </row>
    <row r="321" spans="1:17" hidden="1" x14ac:dyDescent="0.4">
      <c r="A321">
        <v>383</v>
      </c>
      <c r="B321" s="2"/>
      <c r="C321" s="4">
        <v>45908</v>
      </c>
      <c r="D321" s="5">
        <v>0.58333333333333337</v>
      </c>
      <c r="E321" s="5">
        <v>0.64583333333333337</v>
      </c>
      <c r="F321" s="2" t="s">
        <v>9</v>
      </c>
      <c r="G321" s="2" t="s">
        <v>10</v>
      </c>
      <c r="H321" s="2" t="s">
        <v>585</v>
      </c>
      <c r="I321" s="2" t="s">
        <v>586</v>
      </c>
      <c r="J321" s="2">
        <v>104551</v>
      </c>
      <c r="K321" s="2" t="s">
        <v>587</v>
      </c>
      <c r="L321" s="2" t="s">
        <v>14</v>
      </c>
      <c r="M321" t="str">
        <f t="shared" si="29"/>
        <v>Esnault Violette</v>
      </c>
      <c r="Q321" t="str">
        <f t="shared" si="24"/>
        <v>104551vesnault</v>
      </c>
    </row>
    <row r="322" spans="1:17" hidden="1" x14ac:dyDescent="0.4">
      <c r="A322">
        <v>384</v>
      </c>
      <c r="B322" s="2"/>
      <c r="C322" s="4">
        <v>45908</v>
      </c>
      <c r="D322" s="5">
        <v>0.47916666666666669</v>
      </c>
      <c r="E322" s="5">
        <v>0.54166666666666663</v>
      </c>
      <c r="F322" s="2" t="s">
        <v>9</v>
      </c>
      <c r="G322" s="2" t="s">
        <v>10</v>
      </c>
      <c r="H322" s="2" t="s">
        <v>585</v>
      </c>
      <c r="I322" s="2" t="s">
        <v>586</v>
      </c>
      <c r="J322" s="2">
        <v>104550</v>
      </c>
      <c r="K322" s="2" t="s">
        <v>587</v>
      </c>
      <c r="L322" s="2" t="s">
        <v>14</v>
      </c>
      <c r="M322" t="str">
        <f t="shared" si="29"/>
        <v>Esnault Violette</v>
      </c>
      <c r="Q322" t="str">
        <f t="shared" si="24"/>
        <v>104550vesnault</v>
      </c>
    </row>
    <row r="323" spans="1:17" hidden="1" x14ac:dyDescent="0.4">
      <c r="A323">
        <v>385</v>
      </c>
      <c r="B323" s="2"/>
      <c r="C323" s="4">
        <v>45908</v>
      </c>
      <c r="D323" s="5">
        <v>0.375</v>
      </c>
      <c r="E323" s="5">
        <v>0.4375</v>
      </c>
      <c r="F323" s="2" t="s">
        <v>9</v>
      </c>
      <c r="G323" s="2" t="s">
        <v>10</v>
      </c>
      <c r="H323" s="2" t="s">
        <v>585</v>
      </c>
      <c r="I323" s="2" t="s">
        <v>586</v>
      </c>
      <c r="J323" s="2">
        <v>102916</v>
      </c>
      <c r="K323" s="2" t="s">
        <v>587</v>
      </c>
      <c r="L323" s="2" t="s">
        <v>14</v>
      </c>
      <c r="M323" t="str">
        <f t="shared" si="29"/>
        <v>Esnault Violette</v>
      </c>
      <c r="Q323" t="str">
        <f t="shared" si="24"/>
        <v>102916vesnault</v>
      </c>
    </row>
    <row r="324" spans="1:17" hidden="1" x14ac:dyDescent="0.4">
      <c r="A324">
        <v>386</v>
      </c>
      <c r="B324" s="2"/>
      <c r="C324" s="4">
        <v>45909</v>
      </c>
      <c r="D324" s="5">
        <v>0.39583333333333331</v>
      </c>
      <c r="E324" s="5">
        <v>0.47916666666666669</v>
      </c>
      <c r="F324" s="2" t="s">
        <v>9</v>
      </c>
      <c r="G324" s="2" t="s">
        <v>10</v>
      </c>
      <c r="H324" s="2" t="s">
        <v>163</v>
      </c>
      <c r="I324" s="2" t="s">
        <v>164</v>
      </c>
      <c r="J324" s="2">
        <v>104959</v>
      </c>
      <c r="K324" s="2" t="s">
        <v>165</v>
      </c>
      <c r="L324" s="2" t="s">
        <v>18</v>
      </c>
      <c r="M324" t="str">
        <f>I324 &amp; " " &amp; K324</f>
        <v>Elvire Leroux</v>
      </c>
      <c r="Q324" t="str">
        <f t="shared" ref="Q324:Q377" si="30">J324&amp;H324</f>
        <v>104959eleroux</v>
      </c>
    </row>
    <row r="325" spans="1:17" hidden="1" x14ac:dyDescent="0.4">
      <c r="A325">
        <v>387</v>
      </c>
      <c r="B325" s="2"/>
      <c r="C325" s="4">
        <v>45909</v>
      </c>
      <c r="D325" s="5">
        <v>0.39583333333333331</v>
      </c>
      <c r="E325" s="5">
        <v>0.47916666666666669</v>
      </c>
      <c r="F325" s="2" t="s">
        <v>9</v>
      </c>
      <c r="G325" s="2" t="s">
        <v>10</v>
      </c>
      <c r="H325" s="2" t="s">
        <v>601</v>
      </c>
      <c r="I325" s="2" t="s">
        <v>602</v>
      </c>
      <c r="J325" s="2">
        <v>104959</v>
      </c>
      <c r="K325" s="2" t="s">
        <v>603</v>
      </c>
      <c r="L325" s="2" t="s">
        <v>14</v>
      </c>
      <c r="M325" t="str">
        <f t="shared" ref="M325:M330" si="31">K325 &amp; " " &amp; I325</f>
        <v>Li Yaokun</v>
      </c>
      <c r="Q325" t="str">
        <f t="shared" si="30"/>
        <v>104959yli2</v>
      </c>
    </row>
    <row r="326" spans="1:17" hidden="1" x14ac:dyDescent="0.4">
      <c r="A326">
        <v>388</v>
      </c>
      <c r="B326" s="2"/>
      <c r="C326" s="4">
        <v>45908</v>
      </c>
      <c r="D326" s="5">
        <v>0.66666666666666663</v>
      </c>
      <c r="E326" s="5">
        <v>0.72916666666666663</v>
      </c>
      <c r="F326" s="2" t="s">
        <v>9</v>
      </c>
      <c r="G326" s="2" t="s">
        <v>10</v>
      </c>
      <c r="H326" s="2" t="s">
        <v>298</v>
      </c>
      <c r="I326" s="2" t="s">
        <v>299</v>
      </c>
      <c r="J326" s="2">
        <v>104855</v>
      </c>
      <c r="K326" s="2" t="s">
        <v>300</v>
      </c>
      <c r="L326" s="2" t="s">
        <v>14</v>
      </c>
      <c r="M326" t="str">
        <f t="shared" si="31"/>
        <v>Espinasse Karl</v>
      </c>
      <c r="Q326" t="str">
        <f t="shared" si="30"/>
        <v>104855kespinasse</v>
      </c>
    </row>
    <row r="327" spans="1:17" hidden="1" x14ac:dyDescent="0.4">
      <c r="A327">
        <v>390</v>
      </c>
      <c r="B327" s="2"/>
      <c r="C327" s="4">
        <v>45908</v>
      </c>
      <c r="D327" s="5">
        <v>0.58333333333333337</v>
      </c>
      <c r="E327" s="5">
        <v>0.64583333333333337</v>
      </c>
      <c r="F327" s="2" t="s">
        <v>9</v>
      </c>
      <c r="G327" s="2" t="s">
        <v>10</v>
      </c>
      <c r="H327" s="2" t="s">
        <v>298</v>
      </c>
      <c r="I327" s="2" t="s">
        <v>299</v>
      </c>
      <c r="J327" s="2">
        <v>104551</v>
      </c>
      <c r="K327" s="2" t="s">
        <v>300</v>
      </c>
      <c r="L327" s="2" t="s">
        <v>14</v>
      </c>
      <c r="M327" t="str">
        <f t="shared" si="31"/>
        <v>Espinasse Karl</v>
      </c>
      <c r="Q327" t="str">
        <f t="shared" si="30"/>
        <v>104551kespinasse</v>
      </c>
    </row>
    <row r="328" spans="1:17" hidden="1" x14ac:dyDescent="0.4">
      <c r="A328">
        <v>391</v>
      </c>
      <c r="B328" s="2"/>
      <c r="C328" s="4">
        <v>45908</v>
      </c>
      <c r="D328" s="5">
        <v>0.47916666666666669</v>
      </c>
      <c r="E328" s="5">
        <v>0.54166666666666663</v>
      </c>
      <c r="F328" s="2" t="s">
        <v>9</v>
      </c>
      <c r="G328" s="2" t="s">
        <v>10</v>
      </c>
      <c r="H328" s="2" t="s">
        <v>298</v>
      </c>
      <c r="I328" s="2" t="s">
        <v>299</v>
      </c>
      <c r="J328" s="2">
        <v>104550</v>
      </c>
      <c r="K328" s="2" t="s">
        <v>300</v>
      </c>
      <c r="L328" s="2" t="s">
        <v>14</v>
      </c>
      <c r="M328" t="str">
        <f t="shared" si="31"/>
        <v>Espinasse Karl</v>
      </c>
      <c r="Q328" t="str">
        <f t="shared" si="30"/>
        <v>104550kespinasse</v>
      </c>
    </row>
    <row r="329" spans="1:17" hidden="1" x14ac:dyDescent="0.4">
      <c r="A329">
        <v>392</v>
      </c>
      <c r="B329" s="2"/>
      <c r="C329" s="4">
        <v>45908</v>
      </c>
      <c r="D329" s="5">
        <v>0.375</v>
      </c>
      <c r="E329" s="5">
        <v>0.4375</v>
      </c>
      <c r="F329" s="2" t="s">
        <v>9</v>
      </c>
      <c r="G329" s="2" t="s">
        <v>10</v>
      </c>
      <c r="H329" s="2" t="s">
        <v>298</v>
      </c>
      <c r="I329" s="2" t="s">
        <v>299</v>
      </c>
      <c r="J329" s="2">
        <v>102916</v>
      </c>
      <c r="K329" s="2" t="s">
        <v>300</v>
      </c>
      <c r="L329" s="2" t="s">
        <v>14</v>
      </c>
      <c r="M329" t="str">
        <f t="shared" si="31"/>
        <v>Espinasse Karl</v>
      </c>
      <c r="Q329" t="str">
        <f t="shared" si="30"/>
        <v>102916kespinasse</v>
      </c>
    </row>
    <row r="330" spans="1:17" hidden="1" x14ac:dyDescent="0.4">
      <c r="A330">
        <v>393</v>
      </c>
      <c r="B330" s="2"/>
      <c r="C330" s="4">
        <v>45909</v>
      </c>
      <c r="D330" s="5">
        <v>0.39583333333333331</v>
      </c>
      <c r="E330" s="5">
        <v>0.47916666666666669</v>
      </c>
      <c r="F330" s="2" t="s">
        <v>9</v>
      </c>
      <c r="G330" s="2" t="s">
        <v>10</v>
      </c>
      <c r="H330" s="2" t="s">
        <v>525</v>
      </c>
      <c r="I330" s="2" t="s">
        <v>526</v>
      </c>
      <c r="J330" s="2">
        <v>104959</v>
      </c>
      <c r="K330" s="2" t="s">
        <v>527</v>
      </c>
      <c r="L330" s="2" t="s">
        <v>18</v>
      </c>
      <c r="M330" t="str">
        <f t="shared" si="31"/>
        <v>Lim Skylar</v>
      </c>
      <c r="Q330" t="str">
        <f t="shared" si="30"/>
        <v>104959slim</v>
      </c>
    </row>
    <row r="331" spans="1:17" hidden="1" x14ac:dyDescent="0.4">
      <c r="A331">
        <v>394</v>
      </c>
      <c r="B331" s="2"/>
      <c r="C331" s="4">
        <v>45909</v>
      </c>
      <c r="D331" s="5">
        <v>0.39583333333333331</v>
      </c>
      <c r="E331" s="5">
        <v>0.47916666666666669</v>
      </c>
      <c r="F331" s="2" t="s">
        <v>9</v>
      </c>
      <c r="G331" s="2" t="s">
        <v>10</v>
      </c>
      <c r="H331" s="2" t="s">
        <v>330</v>
      </c>
      <c r="I331" s="2" t="s">
        <v>331</v>
      </c>
      <c r="J331" s="2">
        <v>104959</v>
      </c>
      <c r="K331" s="2" t="s">
        <v>332</v>
      </c>
      <c r="L331" s="2" t="s">
        <v>18</v>
      </c>
      <c r="M331" t="str">
        <f>I331 &amp; " " &amp; K331</f>
        <v>Liza Loube</v>
      </c>
      <c r="Q331" t="str">
        <f t="shared" si="30"/>
        <v>104959lloube</v>
      </c>
    </row>
    <row r="332" spans="1:17" hidden="1" x14ac:dyDescent="0.4">
      <c r="A332">
        <v>395</v>
      </c>
      <c r="B332" s="2"/>
      <c r="C332" s="4">
        <v>45908</v>
      </c>
      <c r="D332" s="5">
        <v>0.66666666666666663</v>
      </c>
      <c r="E332" s="5">
        <v>0.72916666666666663</v>
      </c>
      <c r="F332" s="2" t="s">
        <v>9</v>
      </c>
      <c r="G332" s="2" t="s">
        <v>10</v>
      </c>
      <c r="H332" s="2" t="s">
        <v>320</v>
      </c>
      <c r="I332" s="2" t="s">
        <v>321</v>
      </c>
      <c r="J332" s="2">
        <v>104855</v>
      </c>
      <c r="K332" s="2" t="s">
        <v>322</v>
      </c>
      <c r="L332" s="2" t="s">
        <v>18</v>
      </c>
      <c r="M332" t="str">
        <f>I332 &amp; " " &amp; K332</f>
        <v>Lydie Exbrayat</v>
      </c>
      <c r="Q332" t="str">
        <f t="shared" si="30"/>
        <v>104855lexbrayat</v>
      </c>
    </row>
    <row r="333" spans="1:17" hidden="1" x14ac:dyDescent="0.4">
      <c r="A333">
        <v>397</v>
      </c>
      <c r="B333" s="2"/>
      <c r="C333" s="4">
        <v>45908</v>
      </c>
      <c r="D333" s="5">
        <v>0.58333333333333337</v>
      </c>
      <c r="E333" s="5">
        <v>0.64583333333333337</v>
      </c>
      <c r="F333" s="2" t="s">
        <v>9</v>
      </c>
      <c r="G333" s="2" t="s">
        <v>10</v>
      </c>
      <c r="H333" s="2" t="s">
        <v>320</v>
      </c>
      <c r="I333" s="2" t="s">
        <v>321</v>
      </c>
      <c r="J333" s="2">
        <v>104551</v>
      </c>
      <c r="K333" s="2" t="s">
        <v>322</v>
      </c>
      <c r="L333" s="2" t="s">
        <v>18</v>
      </c>
      <c r="M333" t="str">
        <f>K333 &amp; " " &amp; I333</f>
        <v>Exbrayat Lydie</v>
      </c>
      <c r="Q333" t="str">
        <f t="shared" si="30"/>
        <v>104551lexbrayat</v>
      </c>
    </row>
    <row r="334" spans="1:17" hidden="1" x14ac:dyDescent="0.4">
      <c r="A334">
        <v>398</v>
      </c>
      <c r="B334" s="2"/>
      <c r="C334" s="4">
        <v>45908</v>
      </c>
      <c r="D334" s="5">
        <v>0.47916666666666669</v>
      </c>
      <c r="E334" s="5">
        <v>0.54166666666666663</v>
      </c>
      <c r="F334" s="2" t="s">
        <v>9</v>
      </c>
      <c r="G334" s="2" t="s">
        <v>10</v>
      </c>
      <c r="H334" s="2" t="s">
        <v>320</v>
      </c>
      <c r="I334" s="2" t="s">
        <v>321</v>
      </c>
      <c r="J334" s="2">
        <v>104550</v>
      </c>
      <c r="K334" s="2" t="s">
        <v>322</v>
      </c>
      <c r="L334" s="2" t="s">
        <v>14</v>
      </c>
      <c r="M334" t="str">
        <f>K334 &amp; " " &amp; I334</f>
        <v>Exbrayat Lydie</v>
      </c>
      <c r="Q334" t="str">
        <f t="shared" si="30"/>
        <v>104550lexbrayat</v>
      </c>
    </row>
    <row r="335" spans="1:17" hidden="1" x14ac:dyDescent="0.4">
      <c r="A335">
        <v>399</v>
      </c>
      <c r="B335" s="2"/>
      <c r="C335" s="4">
        <v>45908</v>
      </c>
      <c r="D335" s="5">
        <v>0.375</v>
      </c>
      <c r="E335" s="5">
        <v>0.4375</v>
      </c>
      <c r="F335" s="2" t="s">
        <v>9</v>
      </c>
      <c r="G335" s="2" t="s">
        <v>10</v>
      </c>
      <c r="H335" s="2" t="s">
        <v>320</v>
      </c>
      <c r="I335" s="2" t="s">
        <v>321</v>
      </c>
      <c r="J335" s="2">
        <v>102916</v>
      </c>
      <c r="K335" s="2" t="s">
        <v>322</v>
      </c>
      <c r="L335" s="2" t="s">
        <v>18</v>
      </c>
      <c r="M335" t="str">
        <f>I335 &amp; " " &amp; K335</f>
        <v>Lydie Exbrayat</v>
      </c>
      <c r="Q335" t="str">
        <f t="shared" si="30"/>
        <v>102916lexbrayat</v>
      </c>
    </row>
    <row r="336" spans="1:17" hidden="1" x14ac:dyDescent="0.4">
      <c r="A336">
        <v>400</v>
      </c>
      <c r="B336" s="2"/>
      <c r="C336" s="4">
        <v>45909</v>
      </c>
      <c r="D336" s="5">
        <v>0.39583333333333331</v>
      </c>
      <c r="E336" s="5">
        <v>0.47916666666666669</v>
      </c>
      <c r="F336" s="2" t="s">
        <v>9</v>
      </c>
      <c r="G336" s="2" t="s">
        <v>10</v>
      </c>
      <c r="H336" s="2" t="s">
        <v>610</v>
      </c>
      <c r="I336" s="2" t="s">
        <v>611</v>
      </c>
      <c r="J336" s="2">
        <v>104959</v>
      </c>
      <c r="K336" s="2" t="s">
        <v>612</v>
      </c>
      <c r="L336" s="2" t="s">
        <v>18</v>
      </c>
      <c r="M336" t="str">
        <f t="shared" ref="M336:M341" si="32">K336 &amp; " " &amp; I336</f>
        <v>Lyu Zhiqian</v>
      </c>
      <c r="Q336" t="str">
        <f t="shared" si="30"/>
        <v>104959zlyu</v>
      </c>
    </row>
    <row r="337" spans="1:17" hidden="1" x14ac:dyDescent="0.4">
      <c r="A337">
        <v>401</v>
      </c>
      <c r="B337" s="2"/>
      <c r="C337" s="4">
        <v>45909</v>
      </c>
      <c r="D337" s="5">
        <v>0.39583333333333331</v>
      </c>
      <c r="E337" s="5">
        <v>0.47916666666666669</v>
      </c>
      <c r="F337" s="2" t="s">
        <v>9</v>
      </c>
      <c r="G337" s="2" t="s">
        <v>10</v>
      </c>
      <c r="H337" s="2" t="s">
        <v>166</v>
      </c>
      <c r="I337" s="2" t="s">
        <v>167</v>
      </c>
      <c r="J337" s="2">
        <v>104959</v>
      </c>
      <c r="K337" s="2" t="s">
        <v>168</v>
      </c>
      <c r="L337" s="2" t="s">
        <v>14</v>
      </c>
      <c r="M337" t="str">
        <f t="shared" si="32"/>
        <v>Mamane Esther</v>
      </c>
      <c r="Q337" t="str">
        <f t="shared" si="30"/>
        <v>104959emamane</v>
      </c>
    </row>
    <row r="338" spans="1:17" hidden="1" x14ac:dyDescent="0.4">
      <c r="A338">
        <v>402</v>
      </c>
      <c r="B338" s="2"/>
      <c r="C338" s="4">
        <v>45908</v>
      </c>
      <c r="D338" s="5">
        <v>0.66666666666666663</v>
      </c>
      <c r="E338" s="5">
        <v>0.72916666666666663</v>
      </c>
      <c r="F338" s="2" t="s">
        <v>9</v>
      </c>
      <c r="G338" s="2" t="s">
        <v>10</v>
      </c>
      <c r="H338" s="2" t="s">
        <v>465</v>
      </c>
      <c r="I338" s="2" t="s">
        <v>466</v>
      </c>
      <c r="J338" s="2">
        <v>104855</v>
      </c>
      <c r="K338" s="2" t="s">
        <v>467</v>
      </c>
      <c r="L338" s="2" t="s">
        <v>14</v>
      </c>
      <c r="M338" t="str">
        <f t="shared" si="32"/>
        <v>Faget Pierre</v>
      </c>
      <c r="Q338" t="str">
        <f t="shared" si="30"/>
        <v>104855pfaget</v>
      </c>
    </row>
    <row r="339" spans="1:17" hidden="1" x14ac:dyDescent="0.4">
      <c r="A339">
        <v>404</v>
      </c>
      <c r="B339" s="2"/>
      <c r="C339" s="4">
        <v>45908</v>
      </c>
      <c r="D339" s="5">
        <v>0.58333333333333337</v>
      </c>
      <c r="E339" s="5">
        <v>0.64583333333333337</v>
      </c>
      <c r="F339" s="2" t="s">
        <v>9</v>
      </c>
      <c r="G339" s="2" t="s">
        <v>10</v>
      </c>
      <c r="H339" s="2" t="s">
        <v>465</v>
      </c>
      <c r="I339" s="2" t="s">
        <v>466</v>
      </c>
      <c r="J339" s="2">
        <v>104551</v>
      </c>
      <c r="K339" s="2" t="s">
        <v>467</v>
      </c>
      <c r="L339" s="2" t="s">
        <v>14</v>
      </c>
      <c r="M339" t="str">
        <f t="shared" si="32"/>
        <v>Faget Pierre</v>
      </c>
      <c r="Q339" t="str">
        <f t="shared" si="30"/>
        <v>104551pfaget</v>
      </c>
    </row>
    <row r="340" spans="1:17" hidden="1" x14ac:dyDescent="0.4">
      <c r="A340">
        <v>405</v>
      </c>
      <c r="B340" s="2"/>
      <c r="C340" s="4">
        <v>45908</v>
      </c>
      <c r="D340" s="5">
        <v>0.47916666666666669</v>
      </c>
      <c r="E340" s="5">
        <v>0.54166666666666663</v>
      </c>
      <c r="F340" s="2" t="s">
        <v>9</v>
      </c>
      <c r="G340" s="2" t="s">
        <v>10</v>
      </c>
      <c r="H340" s="2" t="s">
        <v>465</v>
      </c>
      <c r="I340" s="2" t="s">
        <v>466</v>
      </c>
      <c r="J340" s="2">
        <v>104550</v>
      </c>
      <c r="K340" s="2" t="s">
        <v>467</v>
      </c>
      <c r="L340" s="2" t="s">
        <v>14</v>
      </c>
      <c r="M340" t="str">
        <f t="shared" si="32"/>
        <v>Faget Pierre</v>
      </c>
      <c r="Q340" t="str">
        <f t="shared" si="30"/>
        <v>104550pfaget</v>
      </c>
    </row>
    <row r="341" spans="1:17" hidden="1" x14ac:dyDescent="0.4">
      <c r="A341">
        <v>406</v>
      </c>
      <c r="B341" s="2"/>
      <c r="C341" s="4">
        <v>45908</v>
      </c>
      <c r="D341" s="5">
        <v>0.375</v>
      </c>
      <c r="E341" s="5">
        <v>0.4375</v>
      </c>
      <c r="F341" s="2" t="s">
        <v>9</v>
      </c>
      <c r="G341" s="2" t="s">
        <v>10</v>
      </c>
      <c r="H341" s="2" t="s">
        <v>465</v>
      </c>
      <c r="I341" s="2" t="s">
        <v>466</v>
      </c>
      <c r="J341" s="2">
        <v>102916</v>
      </c>
      <c r="K341" s="2" t="s">
        <v>467</v>
      </c>
      <c r="L341" s="2" t="s">
        <v>14</v>
      </c>
      <c r="M341" t="str">
        <f t="shared" si="32"/>
        <v>Faget Pierre</v>
      </c>
      <c r="Q341" t="str">
        <f t="shared" si="30"/>
        <v>102916pfaget</v>
      </c>
    </row>
    <row r="342" spans="1:17" hidden="1" x14ac:dyDescent="0.4">
      <c r="A342">
        <v>407</v>
      </c>
      <c r="B342" s="2"/>
      <c r="C342" s="4">
        <v>45909</v>
      </c>
      <c r="D342" s="5">
        <v>0.39583333333333331</v>
      </c>
      <c r="E342" s="5">
        <v>0.47916666666666669</v>
      </c>
      <c r="F342" s="2" t="s">
        <v>9</v>
      </c>
      <c r="G342" s="2" t="s">
        <v>10</v>
      </c>
      <c r="H342" s="2" t="s">
        <v>65</v>
      </c>
      <c r="I342" s="2" t="s">
        <v>66</v>
      </c>
      <c r="J342" s="2">
        <v>104959</v>
      </c>
      <c r="K342" s="2" t="s">
        <v>67</v>
      </c>
      <c r="L342" s="2" t="s">
        <v>18</v>
      </c>
      <c r="M342" t="str">
        <f>I342 &amp; " " &amp; K342</f>
        <v>Adélaïde Mansart</v>
      </c>
      <c r="Q342" t="str">
        <f t="shared" si="30"/>
        <v>104959amansart</v>
      </c>
    </row>
    <row r="343" spans="1:17" hidden="1" x14ac:dyDescent="0.4">
      <c r="A343">
        <v>408</v>
      </c>
      <c r="B343" s="2"/>
      <c r="C343" s="4">
        <v>45909</v>
      </c>
      <c r="D343" s="5">
        <v>0.39583333333333331</v>
      </c>
      <c r="E343" s="5">
        <v>0.47916666666666669</v>
      </c>
      <c r="F343" s="2" t="s">
        <v>9</v>
      </c>
      <c r="G343" s="2" t="s">
        <v>10</v>
      </c>
      <c r="H343" s="2" t="s">
        <v>371</v>
      </c>
      <c r="I343" s="2" t="s">
        <v>372</v>
      </c>
      <c r="J343" s="2">
        <v>104959</v>
      </c>
      <c r="K343" s="2" t="s">
        <v>373</v>
      </c>
      <c r="L343" s="2" t="s">
        <v>18</v>
      </c>
      <c r="M343" t="str">
        <f t="shared" ref="M343:M352" si="33">K343 &amp; " " &amp; I343</f>
        <v>Marchès--Saury Milo</v>
      </c>
      <c r="Q343" t="str">
        <f t="shared" si="30"/>
        <v>104959mmarchessaury</v>
      </c>
    </row>
    <row r="344" spans="1:17" hidden="1" x14ac:dyDescent="0.4">
      <c r="A344">
        <v>410</v>
      </c>
      <c r="B344" s="2"/>
      <c r="C344" s="4">
        <v>45908</v>
      </c>
      <c r="D344" s="5">
        <v>0.58333333333333337</v>
      </c>
      <c r="E344" s="5">
        <v>0.64583333333333337</v>
      </c>
      <c r="F344" s="2" t="s">
        <v>9</v>
      </c>
      <c r="G344" s="2" t="s">
        <v>10</v>
      </c>
      <c r="H344" s="2" t="s">
        <v>278</v>
      </c>
      <c r="I344" s="2" t="s">
        <v>279</v>
      </c>
      <c r="J344" s="2">
        <v>104551</v>
      </c>
      <c r="K344" s="2" t="s">
        <v>280</v>
      </c>
      <c r="L344" s="2" t="s">
        <v>14</v>
      </c>
      <c r="M344" t="str">
        <f t="shared" si="33"/>
        <v>Famchon Jude</v>
      </c>
      <c r="Q344" t="str">
        <f t="shared" si="30"/>
        <v>104551jfamchon</v>
      </c>
    </row>
    <row r="345" spans="1:17" hidden="1" x14ac:dyDescent="0.4">
      <c r="A345">
        <v>411</v>
      </c>
      <c r="B345" s="2"/>
      <c r="C345" s="4">
        <v>45908</v>
      </c>
      <c r="D345" s="5">
        <v>0.47916666666666669</v>
      </c>
      <c r="E345" s="5">
        <v>0.54166666666666663</v>
      </c>
      <c r="F345" s="2" t="s">
        <v>9</v>
      </c>
      <c r="G345" s="2" t="s">
        <v>10</v>
      </c>
      <c r="H345" s="2" t="s">
        <v>278</v>
      </c>
      <c r="I345" s="2" t="s">
        <v>279</v>
      </c>
      <c r="J345" s="2">
        <v>104550</v>
      </c>
      <c r="K345" s="2" t="s">
        <v>280</v>
      </c>
      <c r="L345" s="2" t="s">
        <v>14</v>
      </c>
      <c r="M345" t="str">
        <f t="shared" si="33"/>
        <v>Famchon Jude</v>
      </c>
      <c r="Q345" t="str">
        <f t="shared" si="30"/>
        <v>104550jfamchon</v>
      </c>
    </row>
    <row r="346" spans="1:17" hidden="1" x14ac:dyDescent="0.4">
      <c r="A346">
        <v>412</v>
      </c>
      <c r="B346" s="2"/>
      <c r="C346" s="4">
        <v>45908</v>
      </c>
      <c r="D346" s="5">
        <v>0.375</v>
      </c>
      <c r="E346" s="5">
        <v>0.4375</v>
      </c>
      <c r="F346" s="2" t="s">
        <v>9</v>
      </c>
      <c r="G346" s="2" t="s">
        <v>10</v>
      </c>
      <c r="H346" s="2" t="s">
        <v>278</v>
      </c>
      <c r="I346" s="2" t="s">
        <v>279</v>
      </c>
      <c r="J346" s="2">
        <v>102916</v>
      </c>
      <c r="K346" s="2" t="s">
        <v>280</v>
      </c>
      <c r="L346" s="2" t="s">
        <v>14</v>
      </c>
      <c r="M346" t="str">
        <f t="shared" si="33"/>
        <v>Famchon Jude</v>
      </c>
      <c r="Q346" t="str">
        <f t="shared" si="30"/>
        <v>102916jfamchon</v>
      </c>
    </row>
    <row r="347" spans="1:17" hidden="1" x14ac:dyDescent="0.4">
      <c r="A347">
        <v>413</v>
      </c>
      <c r="B347" s="2"/>
      <c r="C347" s="4">
        <v>45909</v>
      </c>
      <c r="D347" s="5">
        <v>0.39583333333333331</v>
      </c>
      <c r="E347" s="5">
        <v>0.47916666666666669</v>
      </c>
      <c r="F347" s="2" t="s">
        <v>9</v>
      </c>
      <c r="G347" s="2" t="s">
        <v>10</v>
      </c>
      <c r="H347" s="2" t="s">
        <v>202</v>
      </c>
      <c r="I347" s="2" t="s">
        <v>194</v>
      </c>
      <c r="J347" s="2">
        <v>104959</v>
      </c>
      <c r="K347" s="2" t="s">
        <v>203</v>
      </c>
      <c r="L347" s="2" t="s">
        <v>14</v>
      </c>
      <c r="M347" t="str">
        <f t="shared" si="33"/>
        <v>Martin Fanny</v>
      </c>
      <c r="Q347" t="str">
        <f t="shared" si="30"/>
        <v>104959fmartin2</v>
      </c>
    </row>
    <row r="348" spans="1:17" hidden="1" x14ac:dyDescent="0.4">
      <c r="A348">
        <v>414</v>
      </c>
      <c r="B348" s="2"/>
      <c r="C348" s="4">
        <v>45909</v>
      </c>
      <c r="D348" s="5">
        <v>0.39583333333333331</v>
      </c>
      <c r="E348" s="5">
        <v>0.47916666666666669</v>
      </c>
      <c r="F348" s="2" t="s">
        <v>9</v>
      </c>
      <c r="G348" s="2" t="s">
        <v>10</v>
      </c>
      <c r="H348" s="2" t="s">
        <v>333</v>
      </c>
      <c r="I348" s="2" t="s">
        <v>334</v>
      </c>
      <c r="J348" s="2">
        <v>104959</v>
      </c>
      <c r="K348" s="2" t="s">
        <v>335</v>
      </c>
      <c r="L348" s="2" t="s">
        <v>14</v>
      </c>
      <c r="M348" t="str">
        <f t="shared" si="33"/>
        <v>Maudry Lauriane</v>
      </c>
      <c r="Q348" t="str">
        <f t="shared" si="30"/>
        <v>104959lmaudry</v>
      </c>
    </row>
    <row r="349" spans="1:17" hidden="1" x14ac:dyDescent="0.4">
      <c r="A349">
        <v>415</v>
      </c>
      <c r="B349" s="2"/>
      <c r="C349" s="4">
        <v>45908</v>
      </c>
      <c r="D349" s="5">
        <v>0.66666666666666663</v>
      </c>
      <c r="E349" s="5">
        <v>0.72916666666666663</v>
      </c>
      <c r="F349" s="2" t="s">
        <v>9</v>
      </c>
      <c r="G349" s="2" t="s">
        <v>10</v>
      </c>
      <c r="H349" s="2" t="s">
        <v>462</v>
      </c>
      <c r="I349" s="2" t="s">
        <v>463</v>
      </c>
      <c r="J349" s="2">
        <v>104855</v>
      </c>
      <c r="K349" s="2" t="s">
        <v>464</v>
      </c>
      <c r="L349" s="2" t="s">
        <v>14</v>
      </c>
      <c r="M349" t="str">
        <f t="shared" si="33"/>
        <v>Faye Pierre-Emmanuel</v>
      </c>
      <c r="Q349" t="str">
        <f t="shared" si="30"/>
        <v>104855pefaye</v>
      </c>
    </row>
    <row r="350" spans="1:17" hidden="1" x14ac:dyDescent="0.4">
      <c r="A350">
        <v>417</v>
      </c>
      <c r="B350" s="2"/>
      <c r="C350" s="4">
        <v>45908</v>
      </c>
      <c r="D350" s="5">
        <v>0.58333333333333337</v>
      </c>
      <c r="E350" s="5">
        <v>0.64583333333333337</v>
      </c>
      <c r="F350" s="2" t="s">
        <v>9</v>
      </c>
      <c r="G350" s="2" t="s">
        <v>10</v>
      </c>
      <c r="H350" s="2" t="s">
        <v>462</v>
      </c>
      <c r="I350" s="2" t="s">
        <v>463</v>
      </c>
      <c r="J350" s="2">
        <v>104551</v>
      </c>
      <c r="K350" s="2" t="s">
        <v>464</v>
      </c>
      <c r="L350" s="2" t="s">
        <v>14</v>
      </c>
      <c r="M350" t="str">
        <f t="shared" si="33"/>
        <v>Faye Pierre-Emmanuel</v>
      </c>
      <c r="Q350" t="str">
        <f t="shared" si="30"/>
        <v>104551pefaye</v>
      </c>
    </row>
    <row r="351" spans="1:17" hidden="1" x14ac:dyDescent="0.4">
      <c r="A351">
        <v>418</v>
      </c>
      <c r="B351" s="2"/>
      <c r="C351" s="4">
        <v>45908</v>
      </c>
      <c r="D351" s="5">
        <v>0.47916666666666669</v>
      </c>
      <c r="E351" s="5">
        <v>0.54166666666666663</v>
      </c>
      <c r="F351" s="2" t="s">
        <v>9</v>
      </c>
      <c r="G351" s="2" t="s">
        <v>10</v>
      </c>
      <c r="H351" s="2" t="s">
        <v>462</v>
      </c>
      <c r="I351" s="2" t="s">
        <v>463</v>
      </c>
      <c r="J351" s="2">
        <v>104550</v>
      </c>
      <c r="K351" s="2" t="s">
        <v>464</v>
      </c>
      <c r="L351" s="2" t="s">
        <v>14</v>
      </c>
      <c r="M351" t="str">
        <f t="shared" si="33"/>
        <v>Faye Pierre-Emmanuel</v>
      </c>
      <c r="Q351" t="str">
        <f t="shared" si="30"/>
        <v>104550pefaye</v>
      </c>
    </row>
    <row r="352" spans="1:17" hidden="1" x14ac:dyDescent="0.4">
      <c r="A352">
        <v>419</v>
      </c>
      <c r="B352" s="2"/>
      <c r="C352" s="4">
        <v>45908</v>
      </c>
      <c r="D352" s="5">
        <v>0.375</v>
      </c>
      <c r="E352" s="5">
        <v>0.4375</v>
      </c>
      <c r="F352" s="2" t="s">
        <v>9</v>
      </c>
      <c r="G352" s="2" t="s">
        <v>10</v>
      </c>
      <c r="H352" s="2" t="s">
        <v>462</v>
      </c>
      <c r="I352" s="2" t="s">
        <v>463</v>
      </c>
      <c r="J352" s="2">
        <v>102916</v>
      </c>
      <c r="K352" s="2" t="s">
        <v>464</v>
      </c>
      <c r="L352" s="2" t="s">
        <v>14</v>
      </c>
      <c r="M352" t="str">
        <f t="shared" si="33"/>
        <v>Faye Pierre-Emmanuel</v>
      </c>
      <c r="Q352" t="str">
        <f t="shared" si="30"/>
        <v>102916pefaye</v>
      </c>
    </row>
    <row r="353" spans="1:17" hidden="1" x14ac:dyDescent="0.4">
      <c r="A353">
        <v>420</v>
      </c>
      <c r="B353" s="2"/>
      <c r="C353" s="4">
        <v>45909</v>
      </c>
      <c r="D353" s="5">
        <v>0.39583333333333331</v>
      </c>
      <c r="E353" s="5">
        <v>0.47916666666666669</v>
      </c>
      <c r="F353" s="2" t="s">
        <v>9</v>
      </c>
      <c r="G353" s="2" t="s">
        <v>10</v>
      </c>
      <c r="H353" s="2" t="s">
        <v>169</v>
      </c>
      <c r="I353" s="2" t="s">
        <v>170</v>
      </c>
      <c r="J353" s="2">
        <v>104959</v>
      </c>
      <c r="K353" s="2" t="s">
        <v>171</v>
      </c>
      <c r="L353" s="2" t="s">
        <v>18</v>
      </c>
      <c r="M353" t="str">
        <f>I353 &amp; " " &amp; K353</f>
        <v>Éléonore Meens</v>
      </c>
      <c r="Q353" t="str">
        <f t="shared" si="30"/>
        <v>104959emeens</v>
      </c>
    </row>
    <row r="354" spans="1:17" hidden="1" x14ac:dyDescent="0.4">
      <c r="A354">
        <v>421</v>
      </c>
      <c r="B354" s="2"/>
      <c r="C354" s="4">
        <v>45909</v>
      </c>
      <c r="D354" s="5">
        <v>0.39583333333333331</v>
      </c>
      <c r="E354" s="5">
        <v>0.47916666666666669</v>
      </c>
      <c r="F354" s="2" t="s">
        <v>9</v>
      </c>
      <c r="G354" s="2" t="s">
        <v>10</v>
      </c>
      <c r="H354" s="2" t="s">
        <v>102</v>
      </c>
      <c r="I354" s="2" t="s">
        <v>103</v>
      </c>
      <c r="J354" s="2">
        <v>104959</v>
      </c>
      <c r="K354" s="2" t="s">
        <v>104</v>
      </c>
      <c r="L354" s="2" t="s">
        <v>18</v>
      </c>
      <c r="M354" t="str">
        <f>I354 &amp; " " &amp; K354</f>
        <v>Coralie Mellardi</v>
      </c>
      <c r="Q354" t="str">
        <f t="shared" si="30"/>
        <v>104959cmellardi</v>
      </c>
    </row>
    <row r="355" spans="1:17" hidden="1" x14ac:dyDescent="0.4">
      <c r="A355">
        <v>422</v>
      </c>
      <c r="B355" s="2"/>
      <c r="C355" s="4">
        <v>45908</v>
      </c>
      <c r="D355" s="5">
        <v>0.66666666666666663</v>
      </c>
      <c r="E355" s="5">
        <v>0.72916666666666663</v>
      </c>
      <c r="F355" s="2" t="s">
        <v>9</v>
      </c>
      <c r="G355" s="2" t="s">
        <v>10</v>
      </c>
      <c r="H355" s="2" t="s">
        <v>281</v>
      </c>
      <c r="I355" s="2" t="s">
        <v>282</v>
      </c>
      <c r="J355" s="2">
        <v>104855</v>
      </c>
      <c r="K355" s="2" t="s">
        <v>283</v>
      </c>
      <c r="L355" s="2" t="s">
        <v>14</v>
      </c>
      <c r="M355" t="str">
        <f t="shared" ref="M355:M359" si="34">K355 &amp; " " &amp; I355</f>
        <v>Ferrer Moreno Jaume</v>
      </c>
      <c r="Q355" t="str">
        <f t="shared" si="30"/>
        <v>104855jferrer</v>
      </c>
    </row>
    <row r="356" spans="1:17" hidden="1" x14ac:dyDescent="0.4">
      <c r="A356">
        <v>424</v>
      </c>
      <c r="B356" s="2"/>
      <c r="C356" s="4">
        <v>45908</v>
      </c>
      <c r="D356" s="5">
        <v>0.58333333333333337</v>
      </c>
      <c r="E356" s="5">
        <v>0.64583333333333337</v>
      </c>
      <c r="F356" s="2" t="s">
        <v>9</v>
      </c>
      <c r="G356" s="2" t="s">
        <v>10</v>
      </c>
      <c r="H356" s="2" t="s">
        <v>281</v>
      </c>
      <c r="I356" s="2" t="s">
        <v>282</v>
      </c>
      <c r="J356" s="2">
        <v>104551</v>
      </c>
      <c r="K356" s="2" t="s">
        <v>283</v>
      </c>
      <c r="L356" s="2" t="s">
        <v>14</v>
      </c>
      <c r="M356" t="str">
        <f t="shared" si="34"/>
        <v>Ferrer Moreno Jaume</v>
      </c>
      <c r="Q356" t="str">
        <f t="shared" si="30"/>
        <v>104551jferrer</v>
      </c>
    </row>
    <row r="357" spans="1:17" hidden="1" x14ac:dyDescent="0.4">
      <c r="A357">
        <v>425</v>
      </c>
      <c r="B357" s="2"/>
      <c r="C357" s="4">
        <v>45908</v>
      </c>
      <c r="D357" s="5">
        <v>0.47916666666666669</v>
      </c>
      <c r="E357" s="5">
        <v>0.54166666666666663</v>
      </c>
      <c r="F357" s="2" t="s">
        <v>9</v>
      </c>
      <c r="G357" s="2" t="s">
        <v>10</v>
      </c>
      <c r="H357" s="2" t="s">
        <v>281</v>
      </c>
      <c r="I357" s="2" t="s">
        <v>282</v>
      </c>
      <c r="J357" s="2">
        <v>104550</v>
      </c>
      <c r="K357" s="2" t="s">
        <v>283</v>
      </c>
      <c r="L357" s="2" t="s">
        <v>14</v>
      </c>
      <c r="M357" t="str">
        <f t="shared" si="34"/>
        <v>Ferrer Moreno Jaume</v>
      </c>
      <c r="Q357" t="str">
        <f t="shared" si="30"/>
        <v>104550jferrer</v>
      </c>
    </row>
    <row r="358" spans="1:17" hidden="1" x14ac:dyDescent="0.4">
      <c r="A358">
        <v>426</v>
      </c>
      <c r="B358" s="2"/>
      <c r="C358" s="4">
        <v>45908</v>
      </c>
      <c r="D358" s="5">
        <v>0.375</v>
      </c>
      <c r="E358" s="5">
        <v>0.4375</v>
      </c>
      <c r="F358" s="2" t="s">
        <v>9</v>
      </c>
      <c r="G358" s="2" t="s">
        <v>10</v>
      </c>
      <c r="H358" s="2" t="s">
        <v>281</v>
      </c>
      <c r="I358" s="2" t="s">
        <v>282</v>
      </c>
      <c r="J358" s="2">
        <v>102916</v>
      </c>
      <c r="K358" s="2" t="s">
        <v>283</v>
      </c>
      <c r="L358" s="2" t="s">
        <v>14</v>
      </c>
      <c r="M358" t="str">
        <f t="shared" si="34"/>
        <v>Ferrer Moreno Jaume</v>
      </c>
      <c r="Q358" t="str">
        <f t="shared" si="30"/>
        <v>102916jferrer</v>
      </c>
    </row>
    <row r="359" spans="1:17" hidden="1" x14ac:dyDescent="0.4">
      <c r="A359">
        <v>427</v>
      </c>
      <c r="B359" s="2"/>
      <c r="C359" s="4">
        <v>45909</v>
      </c>
      <c r="D359" s="5">
        <v>0.39583333333333331</v>
      </c>
      <c r="E359" s="5">
        <v>0.47916666666666669</v>
      </c>
      <c r="F359" s="2" t="s">
        <v>9</v>
      </c>
      <c r="G359" s="2" t="s">
        <v>10</v>
      </c>
      <c r="H359" s="2" t="s">
        <v>351</v>
      </c>
      <c r="I359" s="2" t="s">
        <v>352</v>
      </c>
      <c r="J359" s="2">
        <v>104959</v>
      </c>
      <c r="K359" s="2" t="s">
        <v>353</v>
      </c>
      <c r="L359" s="2" t="s">
        <v>14</v>
      </c>
      <c r="M359" t="str">
        <f t="shared" si="34"/>
        <v>Melliès Marie-Aude</v>
      </c>
      <c r="Q359" t="str">
        <f t="shared" si="30"/>
        <v>104959mamellies</v>
      </c>
    </row>
    <row r="360" spans="1:17" hidden="1" x14ac:dyDescent="0.4">
      <c r="A360">
        <v>428</v>
      </c>
      <c r="B360" s="2"/>
      <c r="C360" s="4">
        <v>45909</v>
      </c>
      <c r="D360" s="5">
        <v>0.39583333333333331</v>
      </c>
      <c r="E360" s="5">
        <v>0.47916666666666669</v>
      </c>
      <c r="F360" s="2" t="s">
        <v>9</v>
      </c>
      <c r="G360" s="2" t="s">
        <v>10</v>
      </c>
      <c r="H360" s="2" t="s">
        <v>336</v>
      </c>
      <c r="I360" s="2" t="s">
        <v>337</v>
      </c>
      <c r="J360" s="2">
        <v>104959</v>
      </c>
      <c r="K360" s="2" t="s">
        <v>338</v>
      </c>
      <c r="L360" s="2" t="s">
        <v>18</v>
      </c>
      <c r="M360" t="str">
        <f t="shared" ref="M360:M365" si="35">I360 &amp; " " &amp; K360</f>
        <v>Léo Messina</v>
      </c>
      <c r="Q360" t="str">
        <f t="shared" si="30"/>
        <v>104959lmessina</v>
      </c>
    </row>
    <row r="361" spans="1:17" hidden="1" x14ac:dyDescent="0.4">
      <c r="A361">
        <v>429</v>
      </c>
      <c r="B361" s="2"/>
      <c r="C361" s="4">
        <v>45908</v>
      </c>
      <c r="D361" s="5">
        <v>0.66666666666666663</v>
      </c>
      <c r="E361" s="5">
        <v>0.72916666666666663</v>
      </c>
      <c r="F361" s="2" t="s">
        <v>9</v>
      </c>
      <c r="G361" s="2" t="s">
        <v>10</v>
      </c>
      <c r="H361" s="2" t="s">
        <v>215</v>
      </c>
      <c r="I361" s="2" t="s">
        <v>210</v>
      </c>
      <c r="J361" s="2">
        <v>104855</v>
      </c>
      <c r="K361" s="2" t="s">
        <v>216</v>
      </c>
      <c r="L361" s="2" t="s">
        <v>18</v>
      </c>
      <c r="M361" t="str">
        <f t="shared" si="35"/>
        <v>Garance Gabel</v>
      </c>
      <c r="Q361" t="str">
        <f t="shared" si="30"/>
        <v>104855ggabel</v>
      </c>
    </row>
    <row r="362" spans="1:17" hidden="1" x14ac:dyDescent="0.4">
      <c r="A362">
        <v>431</v>
      </c>
      <c r="B362" s="2"/>
      <c r="C362" s="4">
        <v>45908</v>
      </c>
      <c r="D362" s="5">
        <v>0.58333333333333337</v>
      </c>
      <c r="E362" s="5">
        <v>0.64583333333333337</v>
      </c>
      <c r="F362" s="2" t="s">
        <v>9</v>
      </c>
      <c r="G362" s="2" t="s">
        <v>10</v>
      </c>
      <c r="H362" s="2" t="s">
        <v>215</v>
      </c>
      <c r="I362" s="2" t="s">
        <v>210</v>
      </c>
      <c r="J362" s="2">
        <v>104551</v>
      </c>
      <c r="K362" s="2" t="s">
        <v>216</v>
      </c>
      <c r="L362" s="2" t="s">
        <v>18</v>
      </c>
      <c r="M362" t="str">
        <f t="shared" si="35"/>
        <v>Garance Gabel</v>
      </c>
      <c r="Q362" t="str">
        <f t="shared" si="30"/>
        <v>104551ggabel</v>
      </c>
    </row>
    <row r="363" spans="1:17" hidden="1" x14ac:dyDescent="0.4">
      <c r="A363">
        <v>432</v>
      </c>
      <c r="B363" s="2"/>
      <c r="C363" s="4">
        <v>45908</v>
      </c>
      <c r="D363" s="5">
        <v>0.47916666666666669</v>
      </c>
      <c r="E363" s="5">
        <v>0.54166666666666663</v>
      </c>
      <c r="F363" s="2" t="s">
        <v>9</v>
      </c>
      <c r="G363" s="2" t="s">
        <v>10</v>
      </c>
      <c r="H363" s="2" t="s">
        <v>215</v>
      </c>
      <c r="I363" s="2" t="s">
        <v>210</v>
      </c>
      <c r="J363" s="2">
        <v>104550</v>
      </c>
      <c r="K363" s="2" t="s">
        <v>216</v>
      </c>
      <c r="L363" s="2" t="s">
        <v>18</v>
      </c>
      <c r="M363" t="str">
        <f t="shared" si="35"/>
        <v>Garance Gabel</v>
      </c>
      <c r="Q363" t="str">
        <f t="shared" si="30"/>
        <v>104550ggabel</v>
      </c>
    </row>
    <row r="364" spans="1:17" hidden="1" x14ac:dyDescent="0.4">
      <c r="A364">
        <v>433</v>
      </c>
      <c r="B364" s="2"/>
      <c r="C364" s="4">
        <v>45908</v>
      </c>
      <c r="D364" s="5">
        <v>0.375</v>
      </c>
      <c r="E364" s="5">
        <v>0.4375</v>
      </c>
      <c r="F364" s="2" t="s">
        <v>9</v>
      </c>
      <c r="G364" s="2" t="s">
        <v>10</v>
      </c>
      <c r="H364" s="2" t="s">
        <v>215</v>
      </c>
      <c r="I364" s="2" t="s">
        <v>210</v>
      </c>
      <c r="J364" s="2">
        <v>102916</v>
      </c>
      <c r="K364" s="2" t="s">
        <v>216</v>
      </c>
      <c r="L364" s="2" t="s">
        <v>18</v>
      </c>
      <c r="M364" t="str">
        <f t="shared" si="35"/>
        <v>Garance Gabel</v>
      </c>
      <c r="Q364" t="str">
        <f t="shared" si="30"/>
        <v>102916ggabel</v>
      </c>
    </row>
    <row r="365" spans="1:17" hidden="1" x14ac:dyDescent="0.4">
      <c r="A365">
        <v>434</v>
      </c>
      <c r="B365" s="2"/>
      <c r="C365" s="4">
        <v>45909</v>
      </c>
      <c r="D365" s="5">
        <v>0.39583333333333331</v>
      </c>
      <c r="E365" s="5">
        <v>0.47916666666666669</v>
      </c>
      <c r="F365" s="2" t="s">
        <v>9</v>
      </c>
      <c r="G365" s="2" t="s">
        <v>10</v>
      </c>
      <c r="H365" s="2" t="s">
        <v>435</v>
      </c>
      <c r="I365" s="2" t="s">
        <v>436</v>
      </c>
      <c r="J365" s="2">
        <v>104959</v>
      </c>
      <c r="K365" s="2" t="s">
        <v>437</v>
      </c>
      <c r="L365" s="2" t="s">
        <v>18</v>
      </c>
      <c r="M365" t="str">
        <f t="shared" si="35"/>
        <v>Naïs Métivier--Ragonnet</v>
      </c>
      <c r="Q365" t="str">
        <f t="shared" si="30"/>
        <v>104959nmetivierragonnet</v>
      </c>
    </row>
    <row r="366" spans="1:17" x14ac:dyDescent="0.4">
      <c r="A366">
        <v>435</v>
      </c>
      <c r="B366" s="2"/>
      <c r="C366" s="4">
        <v>45909</v>
      </c>
      <c r="D366" s="5">
        <v>0.39583333333333331</v>
      </c>
      <c r="E366" s="5">
        <v>0.47916666666666669</v>
      </c>
      <c r="F366" s="2" t="s">
        <v>9</v>
      </c>
      <c r="G366" s="2" t="s">
        <v>10</v>
      </c>
      <c r="H366" s="2" t="s">
        <v>374</v>
      </c>
      <c r="I366" s="2" t="s">
        <v>375</v>
      </c>
      <c r="J366" s="2">
        <v>104959</v>
      </c>
      <c r="K366" s="2" t="s">
        <v>376</v>
      </c>
      <c r="L366" s="2" t="s">
        <v>14</v>
      </c>
      <c r="M366" t="str">
        <f>K366 &amp; " " &amp; I366</f>
        <v>Metzger Maël</v>
      </c>
      <c r="Q366" t="str">
        <f t="shared" si="30"/>
        <v>104959mmetzger</v>
      </c>
    </row>
    <row r="367" spans="1:17" hidden="1" x14ac:dyDescent="0.4">
      <c r="A367">
        <v>437</v>
      </c>
      <c r="B367" s="2"/>
      <c r="C367" s="4">
        <v>45908</v>
      </c>
      <c r="D367" s="5">
        <v>0.66666666666666663</v>
      </c>
      <c r="E367" s="5">
        <v>0.72916666666666663</v>
      </c>
      <c r="F367" s="2" t="s">
        <v>9</v>
      </c>
      <c r="G367" s="2" t="s">
        <v>10</v>
      </c>
      <c r="H367" s="2" t="s">
        <v>588</v>
      </c>
      <c r="I367" s="2" t="s">
        <v>578</v>
      </c>
      <c r="J367" s="2">
        <v>104855</v>
      </c>
      <c r="K367" s="2" t="s">
        <v>589</v>
      </c>
      <c r="L367" s="2" t="s">
        <v>18</v>
      </c>
      <c r="M367" t="str">
        <f>I367 &amp; " " &amp; K367</f>
        <v>Victor Gadin</v>
      </c>
      <c r="Q367" t="str">
        <f t="shared" si="30"/>
        <v>104855vgadin</v>
      </c>
    </row>
    <row r="368" spans="1:17" hidden="1" x14ac:dyDescent="0.4">
      <c r="A368">
        <v>439</v>
      </c>
      <c r="B368" s="2"/>
      <c r="C368" s="4">
        <v>45908</v>
      </c>
      <c r="D368" s="5">
        <v>0.58333333333333337</v>
      </c>
      <c r="E368" s="5">
        <v>0.64583333333333337</v>
      </c>
      <c r="F368" s="2" t="s">
        <v>9</v>
      </c>
      <c r="G368" s="2" t="s">
        <v>10</v>
      </c>
      <c r="H368" s="2" t="s">
        <v>588</v>
      </c>
      <c r="I368" s="2" t="s">
        <v>578</v>
      </c>
      <c r="J368" s="2">
        <v>104551</v>
      </c>
      <c r="K368" s="2" t="s">
        <v>589</v>
      </c>
      <c r="L368" s="2" t="s">
        <v>18</v>
      </c>
      <c r="M368" t="str">
        <f>I368 &amp; " " &amp; K368</f>
        <v>Victor Gadin</v>
      </c>
      <c r="Q368" t="str">
        <f t="shared" si="30"/>
        <v>104551vgadin</v>
      </c>
    </row>
    <row r="369" spans="1:17" hidden="1" x14ac:dyDescent="0.4">
      <c r="A369">
        <v>440</v>
      </c>
      <c r="B369" s="2"/>
      <c r="C369" s="4">
        <v>45908</v>
      </c>
      <c r="D369" s="5">
        <v>0.47916666666666669</v>
      </c>
      <c r="E369" s="5">
        <v>0.54166666666666663</v>
      </c>
      <c r="F369" s="2" t="s">
        <v>9</v>
      </c>
      <c r="G369" s="2" t="s">
        <v>10</v>
      </c>
      <c r="H369" s="2" t="s">
        <v>588</v>
      </c>
      <c r="I369" s="2" t="s">
        <v>578</v>
      </c>
      <c r="J369" s="2">
        <v>104550</v>
      </c>
      <c r="K369" s="2" t="s">
        <v>589</v>
      </c>
      <c r="L369" s="2" t="s">
        <v>18</v>
      </c>
      <c r="M369" t="str">
        <f>I369 &amp; " " &amp; K369</f>
        <v>Victor Gadin</v>
      </c>
      <c r="Q369" t="str">
        <f t="shared" si="30"/>
        <v>104550vgadin</v>
      </c>
    </row>
    <row r="370" spans="1:17" hidden="1" x14ac:dyDescent="0.4">
      <c r="A370">
        <v>441</v>
      </c>
      <c r="B370" s="2"/>
      <c r="C370" s="4">
        <v>45908</v>
      </c>
      <c r="D370" s="5">
        <v>0.375</v>
      </c>
      <c r="E370" s="5">
        <v>0.4375</v>
      </c>
      <c r="F370" s="2" t="s">
        <v>9</v>
      </c>
      <c r="G370" s="2" t="s">
        <v>10</v>
      </c>
      <c r="H370" s="2" t="s">
        <v>588</v>
      </c>
      <c r="I370" s="2" t="s">
        <v>578</v>
      </c>
      <c r="J370" s="2">
        <v>102916</v>
      </c>
      <c r="K370" s="2" t="s">
        <v>589</v>
      </c>
      <c r="L370" s="2" t="s">
        <v>18</v>
      </c>
      <c r="M370" t="str">
        <f>I370 &amp; " " &amp; K370</f>
        <v>Victor Gadin</v>
      </c>
      <c r="Q370" t="str">
        <f t="shared" si="30"/>
        <v>102916vgadin</v>
      </c>
    </row>
    <row r="371" spans="1:17" hidden="1" x14ac:dyDescent="0.4">
      <c r="A371">
        <v>442</v>
      </c>
      <c r="B371" s="2"/>
      <c r="C371" s="4">
        <v>45909</v>
      </c>
      <c r="D371" s="5">
        <v>0.39583333333333331</v>
      </c>
      <c r="E371" s="5">
        <v>0.47916666666666669</v>
      </c>
      <c r="F371" s="2" t="s">
        <v>9</v>
      </c>
      <c r="G371" s="2" t="s">
        <v>10</v>
      </c>
      <c r="H371" s="2" t="s">
        <v>290</v>
      </c>
      <c r="I371" s="2" t="s">
        <v>291</v>
      </c>
      <c r="J371" s="2">
        <v>104959</v>
      </c>
      <c r="K371" s="2" t="s">
        <v>292</v>
      </c>
      <c r="L371" s="2" t="s">
        <v>14</v>
      </c>
      <c r="M371" t="str">
        <f>K371 &amp; " " &amp; I371</f>
        <v>Mialon Joffrey</v>
      </c>
      <c r="Q371" t="str">
        <f t="shared" si="30"/>
        <v>104959jmialon</v>
      </c>
    </row>
    <row r="372" spans="1:17" hidden="1" x14ac:dyDescent="0.4">
      <c r="A372">
        <v>443</v>
      </c>
      <c r="B372" s="2"/>
      <c r="C372" s="4">
        <v>45909</v>
      </c>
      <c r="D372" s="5">
        <v>0.39583333333333331</v>
      </c>
      <c r="E372" s="5">
        <v>0.47916666666666669</v>
      </c>
      <c r="F372" s="2" t="s">
        <v>9</v>
      </c>
      <c r="G372" s="2" t="s">
        <v>10</v>
      </c>
      <c r="H372" s="2" t="s">
        <v>528</v>
      </c>
      <c r="I372" s="2" t="s">
        <v>529</v>
      </c>
      <c r="J372" s="2">
        <v>104959</v>
      </c>
      <c r="K372" s="2" t="s">
        <v>530</v>
      </c>
      <c r="L372" s="2" t="s">
        <v>18</v>
      </c>
      <c r="M372" t="str">
        <f>I372 &amp; " " &amp; K372</f>
        <v>Salvatore Miceli</v>
      </c>
      <c r="Q372" t="str">
        <f t="shared" si="30"/>
        <v>104959smiceli</v>
      </c>
    </row>
    <row r="373" spans="1:17" hidden="1" x14ac:dyDescent="0.4">
      <c r="A373">
        <v>444</v>
      </c>
      <c r="B373" s="2"/>
      <c r="C373" s="4">
        <v>45908</v>
      </c>
      <c r="D373" s="5">
        <v>0.66666666666666663</v>
      </c>
      <c r="E373" s="5">
        <v>0.72916666666666663</v>
      </c>
      <c r="F373" s="2" t="s">
        <v>9</v>
      </c>
      <c r="G373" s="2" t="s">
        <v>10</v>
      </c>
      <c r="H373" s="2" t="s">
        <v>62</v>
      </c>
      <c r="I373" s="2" t="s">
        <v>63</v>
      </c>
      <c r="J373" s="2">
        <v>104855</v>
      </c>
      <c r="K373" s="2" t="s">
        <v>64</v>
      </c>
      <c r="L373" s="2" t="s">
        <v>18</v>
      </c>
      <c r="M373" t="str">
        <f>I373 &amp; " " &amp; K373</f>
        <v>Adèle, Lili, Violette Galichet</v>
      </c>
      <c r="Q373" t="str">
        <f t="shared" si="30"/>
        <v>104855alvgalichet</v>
      </c>
    </row>
    <row r="374" spans="1:17" hidden="1" x14ac:dyDescent="0.4">
      <c r="A374">
        <v>446</v>
      </c>
      <c r="B374" s="2"/>
      <c r="C374" s="4">
        <v>45908</v>
      </c>
      <c r="D374" s="5">
        <v>0.58333333333333337</v>
      </c>
      <c r="E374" s="5">
        <v>0.64583333333333337</v>
      </c>
      <c r="F374" s="2" t="s">
        <v>9</v>
      </c>
      <c r="G374" s="2" t="s">
        <v>10</v>
      </c>
      <c r="H374" s="2" t="s">
        <v>62</v>
      </c>
      <c r="I374" s="2" t="s">
        <v>63</v>
      </c>
      <c r="J374" s="2">
        <v>104551</v>
      </c>
      <c r="K374" s="2" t="s">
        <v>64</v>
      </c>
      <c r="L374" s="2" t="s">
        <v>18</v>
      </c>
      <c r="M374" t="str">
        <f>I374 &amp; " " &amp; K374</f>
        <v>Adèle, Lili, Violette Galichet</v>
      </c>
      <c r="Q374" t="str">
        <f t="shared" si="30"/>
        <v>104551alvgalichet</v>
      </c>
    </row>
    <row r="375" spans="1:17" hidden="1" x14ac:dyDescent="0.4">
      <c r="A375">
        <v>447</v>
      </c>
      <c r="B375" s="2"/>
      <c r="C375" s="4">
        <v>45908</v>
      </c>
      <c r="D375" s="5">
        <v>0.47916666666666669</v>
      </c>
      <c r="E375" s="5">
        <v>0.54166666666666663</v>
      </c>
      <c r="F375" s="2" t="s">
        <v>9</v>
      </c>
      <c r="G375" s="2" t="s">
        <v>10</v>
      </c>
      <c r="H375" s="2" t="s">
        <v>62</v>
      </c>
      <c r="I375" s="2" t="s">
        <v>63</v>
      </c>
      <c r="J375" s="2">
        <v>104550</v>
      </c>
      <c r="K375" s="2" t="s">
        <v>64</v>
      </c>
      <c r="L375" s="2" t="s">
        <v>18</v>
      </c>
      <c r="M375" t="str">
        <f>I375 &amp; " " &amp; K375</f>
        <v>Adèle, Lili, Violette Galichet</v>
      </c>
      <c r="Q375" t="str">
        <f t="shared" si="30"/>
        <v>104550alvgalichet</v>
      </c>
    </row>
    <row r="376" spans="1:17" hidden="1" x14ac:dyDescent="0.4">
      <c r="A376">
        <v>448</v>
      </c>
      <c r="B376" s="2"/>
      <c r="C376" s="4">
        <v>45908</v>
      </c>
      <c r="D376" s="5">
        <v>0.375</v>
      </c>
      <c r="E376" s="5">
        <v>0.4375</v>
      </c>
      <c r="F376" s="2" t="s">
        <v>9</v>
      </c>
      <c r="G376" s="2" t="s">
        <v>10</v>
      </c>
      <c r="H376" s="2" t="s">
        <v>62</v>
      </c>
      <c r="I376" s="2" t="s">
        <v>63</v>
      </c>
      <c r="J376" s="2">
        <v>102916</v>
      </c>
      <c r="K376" s="2" t="s">
        <v>64</v>
      </c>
      <c r="L376" s="2" t="s">
        <v>18</v>
      </c>
      <c r="M376" t="str">
        <f>I376 &amp; " " &amp; K376</f>
        <v>Adèle, Lili, Violette Galichet</v>
      </c>
      <c r="Q376" t="str">
        <f t="shared" si="30"/>
        <v>102916alvgalichet</v>
      </c>
    </row>
    <row r="377" spans="1:17" hidden="1" x14ac:dyDescent="0.4">
      <c r="A377">
        <v>449</v>
      </c>
      <c r="B377" s="2"/>
      <c r="C377" s="4">
        <v>45909</v>
      </c>
      <c r="D377" s="5">
        <v>0.39583333333333331</v>
      </c>
      <c r="E377" s="5">
        <v>0.47916666666666669</v>
      </c>
      <c r="F377" s="2" t="s">
        <v>9</v>
      </c>
      <c r="G377" s="2" t="s">
        <v>10</v>
      </c>
      <c r="H377" s="2" t="s">
        <v>377</v>
      </c>
      <c r="I377" s="2" t="s">
        <v>378</v>
      </c>
      <c r="J377" s="2">
        <v>104959</v>
      </c>
      <c r="K377" s="2" t="s">
        <v>379</v>
      </c>
      <c r="L377" s="2" t="s">
        <v>14</v>
      </c>
      <c r="M377" t="str">
        <f t="shared" ref="M377:M388" si="36">K377 &amp; " " &amp; I377</f>
        <v>Michel Mélodie</v>
      </c>
      <c r="Q377" t="str">
        <f t="shared" si="30"/>
        <v>104959mmichel1</v>
      </c>
    </row>
    <row r="378" spans="1:17" hidden="1" x14ac:dyDescent="0.4">
      <c r="A378">
        <v>450</v>
      </c>
      <c r="B378" s="2"/>
      <c r="C378" s="4">
        <v>45909</v>
      </c>
      <c r="D378" s="5">
        <v>0.39583333333333331</v>
      </c>
      <c r="E378" s="5">
        <v>0.47916666666666669</v>
      </c>
      <c r="F378" s="2" t="s">
        <v>9</v>
      </c>
      <c r="G378" s="2" t="s">
        <v>10</v>
      </c>
      <c r="H378" s="2" t="s">
        <v>339</v>
      </c>
      <c r="I378" s="2" t="s">
        <v>337</v>
      </c>
      <c r="J378" s="2">
        <v>104959</v>
      </c>
      <c r="K378" s="2" t="s">
        <v>340</v>
      </c>
      <c r="L378" s="2" t="s">
        <v>14</v>
      </c>
      <c r="M378" t="str">
        <f t="shared" si="36"/>
        <v>Minghetti Léo</v>
      </c>
      <c r="Q378" t="str">
        <f t="shared" ref="Q378:Q429" si="37">J378&amp;H378</f>
        <v>104959lminghetti</v>
      </c>
    </row>
    <row r="379" spans="1:17" hidden="1" x14ac:dyDescent="0.4">
      <c r="A379">
        <v>451</v>
      </c>
      <c r="B379" s="2"/>
      <c r="C379" s="4">
        <v>45908</v>
      </c>
      <c r="D379" s="5">
        <v>0.66666666666666663</v>
      </c>
      <c r="E379" s="5">
        <v>0.72916666666666663</v>
      </c>
      <c r="F379" s="2" t="s">
        <v>9</v>
      </c>
      <c r="G379" s="2" t="s">
        <v>10</v>
      </c>
      <c r="H379" s="2" t="s">
        <v>488</v>
      </c>
      <c r="I379" s="2" t="s">
        <v>489</v>
      </c>
      <c r="J379" s="2">
        <v>104855</v>
      </c>
      <c r="K379" s="2" t="s">
        <v>490</v>
      </c>
      <c r="L379" s="2" t="s">
        <v>14</v>
      </c>
      <c r="M379" t="str">
        <f t="shared" si="36"/>
        <v>Gatti Rudy</v>
      </c>
      <c r="Q379" t="str">
        <f t="shared" si="37"/>
        <v>104855rgatti</v>
      </c>
    </row>
    <row r="380" spans="1:17" hidden="1" x14ac:dyDescent="0.4">
      <c r="A380">
        <v>453</v>
      </c>
      <c r="B380" s="2"/>
      <c r="C380" s="4">
        <v>45908</v>
      </c>
      <c r="D380" s="5">
        <v>0.58333333333333337</v>
      </c>
      <c r="E380" s="5">
        <v>0.64583333333333337</v>
      </c>
      <c r="F380" s="2" t="s">
        <v>9</v>
      </c>
      <c r="G380" s="2" t="s">
        <v>10</v>
      </c>
      <c r="H380" s="2" t="s">
        <v>488</v>
      </c>
      <c r="I380" s="2" t="s">
        <v>489</v>
      </c>
      <c r="J380" s="2">
        <v>104551</v>
      </c>
      <c r="K380" s="2" t="s">
        <v>490</v>
      </c>
      <c r="L380" s="2" t="s">
        <v>14</v>
      </c>
      <c r="M380" t="str">
        <f t="shared" si="36"/>
        <v>Gatti Rudy</v>
      </c>
      <c r="Q380" t="str">
        <f t="shared" si="37"/>
        <v>104551rgatti</v>
      </c>
    </row>
    <row r="381" spans="1:17" hidden="1" x14ac:dyDescent="0.4">
      <c r="A381">
        <v>454</v>
      </c>
      <c r="B381" s="2"/>
      <c r="C381" s="4">
        <v>45908</v>
      </c>
      <c r="D381" s="5">
        <v>0.47916666666666669</v>
      </c>
      <c r="E381" s="5">
        <v>0.54166666666666663</v>
      </c>
      <c r="F381" s="2" t="s">
        <v>9</v>
      </c>
      <c r="G381" s="2" t="s">
        <v>10</v>
      </c>
      <c r="H381" s="2" t="s">
        <v>488</v>
      </c>
      <c r="I381" s="2" t="s">
        <v>489</v>
      </c>
      <c r="J381" s="2">
        <v>104550</v>
      </c>
      <c r="K381" s="2" t="s">
        <v>490</v>
      </c>
      <c r="L381" s="2" t="s">
        <v>14</v>
      </c>
      <c r="M381" t="str">
        <f t="shared" si="36"/>
        <v>Gatti Rudy</v>
      </c>
      <c r="Q381" t="str">
        <f t="shared" si="37"/>
        <v>104550rgatti</v>
      </c>
    </row>
    <row r="382" spans="1:17" hidden="1" x14ac:dyDescent="0.4">
      <c r="A382">
        <v>455</v>
      </c>
      <c r="B382" s="2"/>
      <c r="C382" s="4">
        <v>45908</v>
      </c>
      <c r="D382" s="5">
        <v>0.375</v>
      </c>
      <c r="E382" s="5">
        <v>0.4375</v>
      </c>
      <c r="F382" s="2" t="s">
        <v>9</v>
      </c>
      <c r="G382" s="2" t="s">
        <v>10</v>
      </c>
      <c r="H382" s="2" t="s">
        <v>488</v>
      </c>
      <c r="I382" s="2" t="s">
        <v>489</v>
      </c>
      <c r="J382" s="2">
        <v>102916</v>
      </c>
      <c r="K382" s="2" t="s">
        <v>490</v>
      </c>
      <c r="L382" s="2" t="s">
        <v>14</v>
      </c>
      <c r="M382" t="str">
        <f t="shared" si="36"/>
        <v>Gatti Rudy</v>
      </c>
      <c r="Q382" t="str">
        <f t="shared" si="37"/>
        <v>102916rgatti</v>
      </c>
    </row>
    <row r="383" spans="1:17" hidden="1" x14ac:dyDescent="0.4">
      <c r="A383">
        <v>456</v>
      </c>
      <c r="B383" s="2"/>
      <c r="C383" s="4">
        <v>45909</v>
      </c>
      <c r="D383" s="5">
        <v>0.39583333333333331</v>
      </c>
      <c r="E383" s="5">
        <v>0.47916666666666669</v>
      </c>
      <c r="F383" s="2" t="s">
        <v>9</v>
      </c>
      <c r="G383" s="2" t="s">
        <v>10</v>
      </c>
      <c r="H383" s="2" t="s">
        <v>380</v>
      </c>
      <c r="I383" s="2" t="s">
        <v>381</v>
      </c>
      <c r="J383" s="2">
        <v>104959</v>
      </c>
      <c r="K383" s="2" t="s">
        <v>382</v>
      </c>
      <c r="L383" s="2" t="s">
        <v>14</v>
      </c>
      <c r="M383" t="str">
        <f t="shared" si="36"/>
        <v>Mnatsakanyan Mariam</v>
      </c>
      <c r="Q383" t="str">
        <f t="shared" si="37"/>
        <v>104959mmnatsakanyan</v>
      </c>
    </row>
    <row r="384" spans="1:17" hidden="1" x14ac:dyDescent="0.4">
      <c r="A384">
        <v>457</v>
      </c>
      <c r="B384" s="2"/>
      <c r="C384" s="4">
        <v>45909</v>
      </c>
      <c r="D384" s="5">
        <v>0.39583333333333331</v>
      </c>
      <c r="E384" s="5">
        <v>0.47916666666666669</v>
      </c>
      <c r="F384" s="2" t="s">
        <v>9</v>
      </c>
      <c r="G384" s="2" t="s">
        <v>10</v>
      </c>
      <c r="H384" s="2" t="s">
        <v>68</v>
      </c>
      <c r="I384" s="2" t="s">
        <v>69</v>
      </c>
      <c r="J384" s="2">
        <v>104959</v>
      </c>
      <c r="K384" s="2" t="s">
        <v>70</v>
      </c>
      <c r="L384" s="2" t="s">
        <v>18</v>
      </c>
      <c r="M384" t="str">
        <f t="shared" si="36"/>
        <v>Moen Alan</v>
      </c>
      <c r="Q384" t="str">
        <f t="shared" si="37"/>
        <v>104959amoen</v>
      </c>
    </row>
    <row r="385" spans="1:17" hidden="1" x14ac:dyDescent="0.4">
      <c r="A385">
        <v>458</v>
      </c>
      <c r="B385" s="2"/>
      <c r="C385" s="4">
        <v>45908</v>
      </c>
      <c r="D385" s="5">
        <v>0.66666666666666663</v>
      </c>
      <c r="E385" s="5">
        <v>0.72916666666666663</v>
      </c>
      <c r="F385" s="2" t="s">
        <v>9</v>
      </c>
      <c r="G385" s="2" t="s">
        <v>10</v>
      </c>
      <c r="H385" s="2" t="s">
        <v>42</v>
      </c>
      <c r="I385" s="2" t="s">
        <v>43</v>
      </c>
      <c r="J385" s="2">
        <v>104855</v>
      </c>
      <c r="K385" s="2" t="s">
        <v>44</v>
      </c>
      <c r="L385" s="2" t="s">
        <v>14</v>
      </c>
      <c r="M385" t="str">
        <f t="shared" si="36"/>
        <v>Gautier Arthur</v>
      </c>
      <c r="Q385" t="str">
        <f t="shared" si="37"/>
        <v>104855agautier</v>
      </c>
    </row>
    <row r="386" spans="1:17" hidden="1" x14ac:dyDescent="0.4">
      <c r="A386">
        <v>460</v>
      </c>
      <c r="B386" s="2"/>
      <c r="C386" s="4">
        <v>45908</v>
      </c>
      <c r="D386" s="5">
        <v>0.58333333333333337</v>
      </c>
      <c r="E386" s="5">
        <v>0.64583333333333337</v>
      </c>
      <c r="F386" s="2" t="s">
        <v>9</v>
      </c>
      <c r="G386" s="2" t="s">
        <v>10</v>
      </c>
      <c r="H386" s="2" t="s">
        <v>42</v>
      </c>
      <c r="I386" s="2" t="s">
        <v>43</v>
      </c>
      <c r="J386" s="2">
        <v>104551</v>
      </c>
      <c r="K386" s="2" t="s">
        <v>44</v>
      </c>
      <c r="L386" s="2" t="s">
        <v>14</v>
      </c>
      <c r="M386" t="str">
        <f t="shared" si="36"/>
        <v>Gautier Arthur</v>
      </c>
      <c r="Q386" t="str">
        <f t="shared" si="37"/>
        <v>104551agautier</v>
      </c>
    </row>
    <row r="387" spans="1:17" hidden="1" x14ac:dyDescent="0.4">
      <c r="A387">
        <v>461</v>
      </c>
      <c r="B387" s="2"/>
      <c r="C387" s="4">
        <v>45908</v>
      </c>
      <c r="D387" s="5">
        <v>0.47916666666666669</v>
      </c>
      <c r="E387" s="5">
        <v>0.54166666666666663</v>
      </c>
      <c r="F387" s="2" t="s">
        <v>9</v>
      </c>
      <c r="G387" s="2" t="s">
        <v>10</v>
      </c>
      <c r="H387" s="2" t="s">
        <v>42</v>
      </c>
      <c r="I387" s="2" t="s">
        <v>43</v>
      </c>
      <c r="J387" s="2">
        <v>104550</v>
      </c>
      <c r="K387" s="2" t="s">
        <v>44</v>
      </c>
      <c r="L387" s="2" t="s">
        <v>14</v>
      </c>
      <c r="M387" t="str">
        <f t="shared" si="36"/>
        <v>Gautier Arthur</v>
      </c>
      <c r="Q387" t="str">
        <f t="shared" si="37"/>
        <v>104550agautier</v>
      </c>
    </row>
    <row r="388" spans="1:17" hidden="1" x14ac:dyDescent="0.4">
      <c r="A388">
        <v>462</v>
      </c>
      <c r="B388" s="2"/>
      <c r="C388" s="4">
        <v>45908</v>
      </c>
      <c r="D388" s="5">
        <v>0.375</v>
      </c>
      <c r="E388" s="5">
        <v>0.4375</v>
      </c>
      <c r="F388" s="2" t="s">
        <v>9</v>
      </c>
      <c r="G388" s="2" t="s">
        <v>10</v>
      </c>
      <c r="H388" s="2" t="s">
        <v>42</v>
      </c>
      <c r="I388" s="2" t="s">
        <v>43</v>
      </c>
      <c r="J388" s="2">
        <v>102916</v>
      </c>
      <c r="K388" s="2" t="s">
        <v>44</v>
      </c>
      <c r="L388" s="2" t="s">
        <v>14</v>
      </c>
      <c r="M388" t="str">
        <f t="shared" si="36"/>
        <v>Gautier Arthur</v>
      </c>
      <c r="Q388" t="str">
        <f t="shared" si="37"/>
        <v>102916agautier</v>
      </c>
    </row>
    <row r="389" spans="1:17" hidden="1" x14ac:dyDescent="0.4">
      <c r="A389">
        <v>463</v>
      </c>
      <c r="B389" s="2"/>
      <c r="C389" s="4">
        <v>45909</v>
      </c>
      <c r="D389" s="5">
        <v>0.39583333333333331</v>
      </c>
      <c r="E389" s="5">
        <v>0.47916666666666669</v>
      </c>
      <c r="F389" s="2" t="s">
        <v>9</v>
      </c>
      <c r="G389" s="2" t="s">
        <v>10</v>
      </c>
      <c r="H389" s="2" t="s">
        <v>204</v>
      </c>
      <c r="I389" s="2" t="s">
        <v>205</v>
      </c>
      <c r="J389" s="2">
        <v>104959</v>
      </c>
      <c r="K389" s="2" t="s">
        <v>206</v>
      </c>
      <c r="L389" s="2" t="s">
        <v>18</v>
      </c>
      <c r="M389" t="str">
        <f>I389 &amp; " " &amp; K389</f>
        <v>Félicien Moisseron</v>
      </c>
      <c r="Q389" t="str">
        <f t="shared" si="37"/>
        <v>104959fmoisseron</v>
      </c>
    </row>
    <row r="390" spans="1:17" hidden="1" x14ac:dyDescent="0.4">
      <c r="A390">
        <v>464</v>
      </c>
      <c r="B390" s="2"/>
      <c r="C390" s="4">
        <v>45909</v>
      </c>
      <c r="D390" s="5">
        <v>0.39583333333333331</v>
      </c>
      <c r="E390" s="5">
        <v>0.47916666666666669</v>
      </c>
      <c r="F390" s="2" t="s">
        <v>9</v>
      </c>
      <c r="G390" s="2" t="s">
        <v>10</v>
      </c>
      <c r="H390" s="2" t="s">
        <v>71</v>
      </c>
      <c r="I390" s="2" t="s">
        <v>72</v>
      </c>
      <c r="J390" s="2">
        <v>104959</v>
      </c>
      <c r="K390" s="2" t="s">
        <v>73</v>
      </c>
      <c r="L390" s="2" t="s">
        <v>18</v>
      </c>
      <c r="M390" t="str">
        <f>I390 &amp; " " &amp; K390</f>
        <v>Arcadi Moreira</v>
      </c>
      <c r="Q390" t="str">
        <f t="shared" si="37"/>
        <v>104959amoreira1</v>
      </c>
    </row>
    <row r="391" spans="1:17" hidden="1" x14ac:dyDescent="0.4">
      <c r="A391">
        <v>465</v>
      </c>
      <c r="B391" s="2"/>
      <c r="C391" s="4">
        <v>45908</v>
      </c>
      <c r="D391" s="5">
        <v>0.66666666666666663</v>
      </c>
      <c r="E391" s="5">
        <v>0.72916666666666663</v>
      </c>
      <c r="F391" s="2" t="s">
        <v>9</v>
      </c>
      <c r="G391" s="2" t="s">
        <v>10</v>
      </c>
      <c r="H391" s="2" t="s">
        <v>468</v>
      </c>
      <c r="I391" s="2" t="s">
        <v>469</v>
      </c>
      <c r="J391" s="2">
        <v>104855</v>
      </c>
      <c r="K391" s="2" t="s">
        <v>470</v>
      </c>
      <c r="L391" s="2" t="s">
        <v>18</v>
      </c>
      <c r="M391" t="str">
        <f>I391 &amp; " " &amp; K391</f>
        <v>Paul Germanaz</v>
      </c>
      <c r="Q391" t="str">
        <f t="shared" si="37"/>
        <v>104855pgermanaz</v>
      </c>
    </row>
    <row r="392" spans="1:17" hidden="1" x14ac:dyDescent="0.4">
      <c r="A392">
        <v>467</v>
      </c>
      <c r="B392" s="2"/>
      <c r="C392" s="4">
        <v>45908</v>
      </c>
      <c r="D392" s="5">
        <v>0.58333333333333337</v>
      </c>
      <c r="E392" s="5">
        <v>0.64583333333333337</v>
      </c>
      <c r="F392" s="2" t="s">
        <v>9</v>
      </c>
      <c r="G392" s="2" t="s">
        <v>10</v>
      </c>
      <c r="H392" s="2" t="s">
        <v>468</v>
      </c>
      <c r="I392" s="2" t="s">
        <v>469</v>
      </c>
      <c r="J392" s="2">
        <v>104551</v>
      </c>
      <c r="K392" s="2" t="s">
        <v>470</v>
      </c>
      <c r="L392" s="2" t="s">
        <v>18</v>
      </c>
      <c r="M392" t="str">
        <f>I392 &amp; " " &amp; K392</f>
        <v>Paul Germanaz</v>
      </c>
      <c r="Q392" t="str">
        <f t="shared" si="37"/>
        <v>104551pgermanaz</v>
      </c>
    </row>
    <row r="393" spans="1:17" hidden="1" x14ac:dyDescent="0.4">
      <c r="A393">
        <v>468</v>
      </c>
      <c r="B393" s="2"/>
      <c r="C393" s="4">
        <v>45908</v>
      </c>
      <c r="D393" s="5">
        <v>0.47916666666666669</v>
      </c>
      <c r="E393" s="5">
        <v>0.54166666666666663</v>
      </c>
      <c r="F393" s="2" t="s">
        <v>9</v>
      </c>
      <c r="G393" s="2" t="s">
        <v>10</v>
      </c>
      <c r="H393" s="2" t="s">
        <v>468</v>
      </c>
      <c r="I393" s="2" t="s">
        <v>469</v>
      </c>
      <c r="J393" s="2">
        <v>104550</v>
      </c>
      <c r="K393" s="2" t="s">
        <v>470</v>
      </c>
      <c r="L393" s="2" t="s">
        <v>18</v>
      </c>
      <c r="M393" t="str">
        <f>I393 &amp; " " &amp; K393</f>
        <v>Paul Germanaz</v>
      </c>
      <c r="Q393" t="str">
        <f t="shared" si="37"/>
        <v>104550pgermanaz</v>
      </c>
    </row>
    <row r="394" spans="1:17" hidden="1" x14ac:dyDescent="0.4">
      <c r="A394">
        <v>469</v>
      </c>
      <c r="B394" s="2"/>
      <c r="C394" s="4">
        <v>45908</v>
      </c>
      <c r="D394" s="5">
        <v>0.375</v>
      </c>
      <c r="E394" s="5">
        <v>0.4375</v>
      </c>
      <c r="F394" s="2" t="s">
        <v>9</v>
      </c>
      <c r="G394" s="2" t="s">
        <v>10</v>
      </c>
      <c r="H394" s="2" t="s">
        <v>468</v>
      </c>
      <c r="I394" s="2" t="s">
        <v>469</v>
      </c>
      <c r="J394" s="2">
        <v>102916</v>
      </c>
      <c r="K394" s="2" t="s">
        <v>470</v>
      </c>
      <c r="L394" s="2" t="s">
        <v>18</v>
      </c>
      <c r="M394" t="str">
        <f>K394 &amp; " " &amp; I394</f>
        <v>Germanaz Paul</v>
      </c>
      <c r="Q394" t="str">
        <f t="shared" si="37"/>
        <v>102916pgermanaz</v>
      </c>
    </row>
    <row r="395" spans="1:17" hidden="1" x14ac:dyDescent="0.4">
      <c r="A395">
        <v>470</v>
      </c>
      <c r="B395" s="2"/>
      <c r="C395" s="4">
        <v>45909</v>
      </c>
      <c r="D395" s="5">
        <v>0.39583333333333331</v>
      </c>
      <c r="E395" s="5">
        <v>0.47916666666666669</v>
      </c>
      <c r="F395" s="2" t="s">
        <v>9</v>
      </c>
      <c r="G395" s="2" t="s">
        <v>10</v>
      </c>
      <c r="H395" s="2" t="s">
        <v>421</v>
      </c>
      <c r="I395" s="2" t="s">
        <v>422</v>
      </c>
      <c r="J395" s="2">
        <v>104959</v>
      </c>
      <c r="K395" s="2" t="s">
        <v>423</v>
      </c>
      <c r="L395" s="2" t="s">
        <v>18</v>
      </c>
      <c r="M395" t="str">
        <f>I395 &amp; " " &amp; K395</f>
        <v>Nicolas, Elie Moscardo</v>
      </c>
      <c r="Q395" t="str">
        <f t="shared" si="37"/>
        <v>104959nemoscardo</v>
      </c>
    </row>
    <row r="396" spans="1:17" hidden="1" x14ac:dyDescent="0.4">
      <c r="A396">
        <v>471</v>
      </c>
      <c r="B396" s="2"/>
      <c r="C396" s="4">
        <v>45909</v>
      </c>
      <c r="D396" s="5">
        <v>0.39583333333333331</v>
      </c>
      <c r="E396" s="5">
        <v>0.47916666666666669</v>
      </c>
      <c r="F396" s="2" t="s">
        <v>9</v>
      </c>
      <c r="G396" s="2" t="s">
        <v>10</v>
      </c>
      <c r="H396" s="2" t="s">
        <v>474</v>
      </c>
      <c r="I396" s="2" t="s">
        <v>466</v>
      </c>
      <c r="J396" s="2">
        <v>104959</v>
      </c>
      <c r="K396" s="2" t="s">
        <v>475</v>
      </c>
      <c r="L396" s="2" t="s">
        <v>18</v>
      </c>
      <c r="M396" t="str">
        <f>I396 &amp; " " &amp; K396</f>
        <v>Pierre Muslewski</v>
      </c>
      <c r="Q396" t="str">
        <f t="shared" si="37"/>
        <v>104959pmuslewski</v>
      </c>
    </row>
    <row r="397" spans="1:17" hidden="1" x14ac:dyDescent="0.4">
      <c r="A397">
        <v>473</v>
      </c>
      <c r="B397" s="2"/>
      <c r="C397" s="4">
        <v>45908</v>
      </c>
      <c r="D397" s="5">
        <v>0.66666666666666663</v>
      </c>
      <c r="E397" s="5">
        <v>0.72916666666666663</v>
      </c>
      <c r="F397" s="2" t="s">
        <v>9</v>
      </c>
      <c r="G397" s="2" t="s">
        <v>10</v>
      </c>
      <c r="H397" s="2" t="s">
        <v>607</v>
      </c>
      <c r="I397" s="2" t="s">
        <v>608</v>
      </c>
      <c r="J397" s="2">
        <v>104855</v>
      </c>
      <c r="K397" s="2" t="s">
        <v>609</v>
      </c>
      <c r="L397" s="2" t="s">
        <v>18</v>
      </c>
      <c r="M397" t="str">
        <f>I397 &amp; " " &amp; K397</f>
        <v>Zéphyr Gogris</v>
      </c>
      <c r="Q397" t="str">
        <f t="shared" si="37"/>
        <v>104855zgogris</v>
      </c>
    </row>
    <row r="398" spans="1:17" hidden="1" x14ac:dyDescent="0.4">
      <c r="A398">
        <v>475</v>
      </c>
      <c r="B398" s="2"/>
      <c r="C398" s="4">
        <v>45908</v>
      </c>
      <c r="D398" s="5">
        <v>0.58333333333333337</v>
      </c>
      <c r="E398" s="5">
        <v>0.64583333333333337</v>
      </c>
      <c r="F398" s="2" t="s">
        <v>9</v>
      </c>
      <c r="G398" s="2" t="s">
        <v>10</v>
      </c>
      <c r="H398" s="2" t="s">
        <v>607</v>
      </c>
      <c r="I398" s="2" t="s">
        <v>608</v>
      </c>
      <c r="J398" s="2">
        <v>104551</v>
      </c>
      <c r="K398" s="2" t="s">
        <v>609</v>
      </c>
      <c r="L398" s="2" t="s">
        <v>18</v>
      </c>
      <c r="M398" t="str">
        <f>I398 &amp; " " &amp; K398</f>
        <v>Zéphyr Gogris</v>
      </c>
      <c r="Q398" t="str">
        <f t="shared" si="37"/>
        <v>104551zgogris</v>
      </c>
    </row>
    <row r="399" spans="1:17" hidden="1" x14ac:dyDescent="0.4">
      <c r="A399">
        <v>476</v>
      </c>
      <c r="B399" s="2"/>
      <c r="C399" s="4">
        <v>45908</v>
      </c>
      <c r="D399" s="5">
        <v>0.47916666666666669</v>
      </c>
      <c r="E399" s="5">
        <v>0.54166666666666663</v>
      </c>
      <c r="F399" s="2" t="s">
        <v>9</v>
      </c>
      <c r="G399" s="2" t="s">
        <v>10</v>
      </c>
      <c r="H399" s="2" t="s">
        <v>607</v>
      </c>
      <c r="I399" s="2" t="s">
        <v>608</v>
      </c>
      <c r="J399" s="2">
        <v>104550</v>
      </c>
      <c r="K399" s="2" t="s">
        <v>609</v>
      </c>
      <c r="L399" s="2" t="s">
        <v>18</v>
      </c>
      <c r="M399" t="str">
        <f>I399 &amp; " " &amp; K399</f>
        <v>Zéphyr Gogris</v>
      </c>
      <c r="Q399" t="str">
        <f t="shared" si="37"/>
        <v>104550zgogris</v>
      </c>
    </row>
    <row r="400" spans="1:17" hidden="1" x14ac:dyDescent="0.4">
      <c r="A400">
        <v>477</v>
      </c>
      <c r="B400" s="2"/>
      <c r="C400" s="4">
        <v>45908</v>
      </c>
      <c r="D400" s="5">
        <v>0.375</v>
      </c>
      <c r="E400" s="5">
        <v>0.4375</v>
      </c>
      <c r="F400" s="2" t="s">
        <v>9</v>
      </c>
      <c r="G400" s="2" t="s">
        <v>10</v>
      </c>
      <c r="H400" s="2" t="s">
        <v>607</v>
      </c>
      <c r="I400" s="2" t="s">
        <v>608</v>
      </c>
      <c r="J400" s="2">
        <v>102916</v>
      </c>
      <c r="K400" s="2" t="s">
        <v>609</v>
      </c>
      <c r="L400" s="2" t="s">
        <v>18</v>
      </c>
      <c r="M400" t="str">
        <f>K400 &amp; " " &amp; I400</f>
        <v>Gogris Zéphyr</v>
      </c>
      <c r="Q400" t="str">
        <f t="shared" si="37"/>
        <v>102916zgogris</v>
      </c>
    </row>
    <row r="401" spans="1:17" hidden="1" x14ac:dyDescent="0.4">
      <c r="A401">
        <v>478</v>
      </c>
      <c r="B401" s="2"/>
      <c r="C401" s="4">
        <v>45909</v>
      </c>
      <c r="D401" s="5">
        <v>0.39583333333333331</v>
      </c>
      <c r="E401" s="5">
        <v>0.47916666666666669</v>
      </c>
      <c r="F401" s="2" t="s">
        <v>9</v>
      </c>
      <c r="G401" s="2" t="s">
        <v>10</v>
      </c>
      <c r="H401" s="2" t="s">
        <v>303</v>
      </c>
      <c r="I401" s="2" t="s">
        <v>304</v>
      </c>
      <c r="J401" s="2">
        <v>104959</v>
      </c>
      <c r="K401" s="2" t="s">
        <v>305</v>
      </c>
      <c r="L401" s="2" t="s">
        <v>18</v>
      </c>
      <c r="M401" t="str">
        <f>I401 &amp; " " &amp; K401</f>
        <v>Killyan Najera Houbiers</v>
      </c>
      <c r="Q401" t="str">
        <f t="shared" si="37"/>
        <v>104959knajerahoubiers</v>
      </c>
    </row>
    <row r="402" spans="1:17" hidden="1" x14ac:dyDescent="0.4">
      <c r="A402">
        <v>479</v>
      </c>
      <c r="B402" s="2"/>
      <c r="C402" s="4">
        <v>45909</v>
      </c>
      <c r="D402" s="5">
        <v>0.39583333333333331</v>
      </c>
      <c r="E402" s="5">
        <v>0.47916666666666669</v>
      </c>
      <c r="F402" s="2" t="s">
        <v>9</v>
      </c>
      <c r="G402" s="2" t="s">
        <v>10</v>
      </c>
      <c r="H402" s="2" t="s">
        <v>93</v>
      </c>
      <c r="I402" s="2" t="s">
        <v>94</v>
      </c>
      <c r="J402" s="2">
        <v>104959</v>
      </c>
      <c r="K402" s="2" t="s">
        <v>95</v>
      </c>
      <c r="L402" s="2" t="s">
        <v>14</v>
      </c>
      <c r="M402" t="str">
        <f>K402 &amp; " " &amp; I402</f>
        <v>Naji Bilal</v>
      </c>
      <c r="Q402" t="str">
        <f t="shared" si="37"/>
        <v>104959bnaji</v>
      </c>
    </row>
    <row r="403" spans="1:17" hidden="1" x14ac:dyDescent="0.4">
      <c r="A403">
        <v>480</v>
      </c>
      <c r="B403" s="2"/>
      <c r="C403" s="4">
        <v>45908</v>
      </c>
      <c r="D403" s="5">
        <v>0.66666666666666663</v>
      </c>
      <c r="E403" s="5">
        <v>0.72916666666666663</v>
      </c>
      <c r="F403" s="2" t="s">
        <v>9</v>
      </c>
      <c r="G403" s="2" t="s">
        <v>10</v>
      </c>
      <c r="H403" s="2" t="s">
        <v>598</v>
      </c>
      <c r="I403" s="2" t="s">
        <v>599</v>
      </c>
      <c r="J403" s="2">
        <v>104855</v>
      </c>
      <c r="K403" s="2" t="s">
        <v>600</v>
      </c>
      <c r="L403" s="2" t="s">
        <v>18</v>
      </c>
      <c r="M403" t="str">
        <f>I403 &amp; " " &amp; K403</f>
        <v>Yuko Gomi</v>
      </c>
      <c r="Q403" t="str">
        <f t="shared" si="37"/>
        <v>104855ygomi</v>
      </c>
    </row>
    <row r="404" spans="1:17" hidden="1" x14ac:dyDescent="0.4">
      <c r="A404">
        <v>483</v>
      </c>
      <c r="B404" s="2"/>
      <c r="C404" s="4">
        <v>45908</v>
      </c>
      <c r="D404" s="5">
        <v>0.58333333333333337</v>
      </c>
      <c r="E404" s="5">
        <v>0.64583333333333337</v>
      </c>
      <c r="F404" s="2" t="s">
        <v>9</v>
      </c>
      <c r="G404" s="2" t="s">
        <v>10</v>
      </c>
      <c r="H404" s="2" t="s">
        <v>598</v>
      </c>
      <c r="I404" s="2" t="s">
        <v>599</v>
      </c>
      <c r="J404" s="2">
        <v>104551</v>
      </c>
      <c r="K404" s="2" t="s">
        <v>600</v>
      </c>
      <c r="L404" s="2" t="s">
        <v>18</v>
      </c>
      <c r="M404" t="str">
        <f>I404 &amp; " " &amp; K404</f>
        <v>Yuko Gomi</v>
      </c>
      <c r="Q404" t="str">
        <f t="shared" si="37"/>
        <v>104551ygomi</v>
      </c>
    </row>
    <row r="405" spans="1:17" hidden="1" x14ac:dyDescent="0.4">
      <c r="A405">
        <v>484</v>
      </c>
      <c r="B405" s="2"/>
      <c r="C405" s="4">
        <v>45908</v>
      </c>
      <c r="D405" s="5">
        <v>0.47916666666666669</v>
      </c>
      <c r="E405" s="5">
        <v>0.54166666666666663</v>
      </c>
      <c r="F405" s="2" t="s">
        <v>9</v>
      </c>
      <c r="G405" s="2" t="s">
        <v>10</v>
      </c>
      <c r="H405" s="2" t="s">
        <v>598</v>
      </c>
      <c r="I405" s="2" t="s">
        <v>599</v>
      </c>
      <c r="J405" s="2">
        <v>104550</v>
      </c>
      <c r="K405" s="2" t="s">
        <v>600</v>
      </c>
      <c r="L405" s="2" t="s">
        <v>18</v>
      </c>
      <c r="M405" t="str">
        <f>I405 &amp; " " &amp; K405</f>
        <v>Yuko Gomi</v>
      </c>
      <c r="Q405" t="str">
        <f t="shared" si="37"/>
        <v>104550ygomi</v>
      </c>
    </row>
    <row r="406" spans="1:17" hidden="1" x14ac:dyDescent="0.4">
      <c r="A406">
        <v>485</v>
      </c>
      <c r="B406" s="2"/>
      <c r="C406" s="4">
        <v>45908</v>
      </c>
      <c r="D406" s="5">
        <v>0.375</v>
      </c>
      <c r="E406" s="5">
        <v>0.4375</v>
      </c>
      <c r="F406" s="2" t="s">
        <v>9</v>
      </c>
      <c r="G406" s="2" t="s">
        <v>10</v>
      </c>
      <c r="H406" s="2" t="s">
        <v>598</v>
      </c>
      <c r="I406" s="2" t="s">
        <v>599</v>
      </c>
      <c r="J406" s="2">
        <v>102916</v>
      </c>
      <c r="K406" s="2" t="s">
        <v>600</v>
      </c>
      <c r="L406" s="2" t="s">
        <v>18</v>
      </c>
      <c r="M406" t="str">
        <f>K406 &amp; " " &amp; I406</f>
        <v>Gomi Yuko</v>
      </c>
      <c r="Q406" t="str">
        <f t="shared" si="37"/>
        <v>102916ygomi</v>
      </c>
    </row>
    <row r="407" spans="1:17" hidden="1" x14ac:dyDescent="0.4">
      <c r="A407">
        <v>486</v>
      </c>
      <c r="B407" s="2"/>
      <c r="C407" s="4">
        <v>45909</v>
      </c>
      <c r="D407" s="5">
        <v>0.39583333333333331</v>
      </c>
      <c r="E407" s="5">
        <v>0.47916666666666669</v>
      </c>
      <c r="F407" s="2" t="s">
        <v>9</v>
      </c>
      <c r="G407" s="2" t="s">
        <v>10</v>
      </c>
      <c r="H407" s="2" t="s">
        <v>383</v>
      </c>
      <c r="I407" s="2" t="s">
        <v>384</v>
      </c>
      <c r="J407" s="2">
        <v>104959</v>
      </c>
      <c r="K407" s="2" t="s">
        <v>385</v>
      </c>
      <c r="L407" s="2" t="s">
        <v>14</v>
      </c>
      <c r="M407" t="str">
        <f>K407 &amp; " " &amp; I407</f>
        <v>Nakahira Meiko</v>
      </c>
      <c r="Q407" t="str">
        <f t="shared" si="37"/>
        <v>104959mnakahira1</v>
      </c>
    </row>
    <row r="408" spans="1:17" hidden="1" x14ac:dyDescent="0.4">
      <c r="A408">
        <v>487</v>
      </c>
      <c r="B408" s="2"/>
      <c r="C408" s="4">
        <v>45909</v>
      </c>
      <c r="D408" s="5">
        <v>0.39583333333333331</v>
      </c>
      <c r="E408" s="5">
        <v>0.47916666666666669</v>
      </c>
      <c r="F408" s="2" t="s">
        <v>9</v>
      </c>
      <c r="G408" s="2" t="s">
        <v>10</v>
      </c>
      <c r="H408" s="2" t="s">
        <v>74</v>
      </c>
      <c r="I408" s="2" t="s">
        <v>75</v>
      </c>
      <c r="J408" s="2">
        <v>104959</v>
      </c>
      <c r="K408" s="2" t="s">
        <v>76</v>
      </c>
      <c r="L408" s="2" t="s">
        <v>18</v>
      </c>
      <c r="M408" t="str">
        <f>I408 &amp; " " &amp; K408</f>
        <v>Abel Nantois</v>
      </c>
      <c r="Q408" t="str">
        <f t="shared" si="37"/>
        <v>104959anantois</v>
      </c>
    </row>
    <row r="409" spans="1:17" hidden="1" x14ac:dyDescent="0.4">
      <c r="A409">
        <v>488</v>
      </c>
      <c r="B409" s="2"/>
      <c r="C409" s="4">
        <v>45908</v>
      </c>
      <c r="D409" s="5">
        <v>0.66666666666666663</v>
      </c>
      <c r="E409" s="5">
        <v>0.72916666666666663</v>
      </c>
      <c r="F409" s="2" t="s">
        <v>9</v>
      </c>
      <c r="G409" s="2" t="s">
        <v>10</v>
      </c>
      <c r="H409" s="2" t="s">
        <v>456</v>
      </c>
      <c r="I409" s="2" t="s">
        <v>457</v>
      </c>
      <c r="J409" s="2">
        <v>104855</v>
      </c>
      <c r="K409" s="2" t="s">
        <v>458</v>
      </c>
      <c r="L409" s="2" t="s">
        <v>18</v>
      </c>
      <c r="M409" t="str">
        <f>K409 &amp; " " &amp; I409</f>
        <v>González Babiaud Odile</v>
      </c>
      <c r="Q409" t="str">
        <f t="shared" si="37"/>
        <v>104855ogonzalezbabiaud</v>
      </c>
    </row>
    <row r="410" spans="1:17" hidden="1" x14ac:dyDescent="0.4">
      <c r="A410">
        <v>490</v>
      </c>
      <c r="B410" s="2"/>
      <c r="C410" s="4">
        <v>45908</v>
      </c>
      <c r="D410" s="5">
        <v>0.58333333333333337</v>
      </c>
      <c r="E410" s="5">
        <v>0.64583333333333337</v>
      </c>
      <c r="F410" s="2" t="s">
        <v>9</v>
      </c>
      <c r="G410" s="2" t="s">
        <v>10</v>
      </c>
      <c r="H410" s="2" t="s">
        <v>456</v>
      </c>
      <c r="I410" s="2" t="s">
        <v>457</v>
      </c>
      <c r="J410" s="2">
        <v>104551</v>
      </c>
      <c r="K410" s="2" t="s">
        <v>458</v>
      </c>
      <c r="L410" s="2" t="s">
        <v>18</v>
      </c>
      <c r="M410" t="str">
        <f>K410 &amp; " " &amp; I410</f>
        <v>González Babiaud Odile</v>
      </c>
      <c r="Q410" t="str">
        <f t="shared" si="37"/>
        <v>104551ogonzalezbabiaud</v>
      </c>
    </row>
    <row r="411" spans="1:17" hidden="1" x14ac:dyDescent="0.4">
      <c r="A411">
        <v>491</v>
      </c>
      <c r="B411" s="2"/>
      <c r="C411" s="4">
        <v>45908</v>
      </c>
      <c r="D411" s="5">
        <v>0.47916666666666669</v>
      </c>
      <c r="E411" s="5">
        <v>0.54166666666666663</v>
      </c>
      <c r="F411" s="2" t="s">
        <v>9</v>
      </c>
      <c r="G411" s="2" t="s">
        <v>10</v>
      </c>
      <c r="H411" s="2" t="s">
        <v>456</v>
      </c>
      <c r="I411" s="2" t="s">
        <v>457</v>
      </c>
      <c r="J411" s="2">
        <v>104550</v>
      </c>
      <c r="K411" s="2" t="s">
        <v>458</v>
      </c>
      <c r="L411" s="2" t="s">
        <v>18</v>
      </c>
      <c r="M411" t="str">
        <f>I411 &amp; " " &amp; K411</f>
        <v>Odile González Babiaud</v>
      </c>
      <c r="Q411" t="str">
        <f t="shared" si="37"/>
        <v>104550ogonzalezbabiaud</v>
      </c>
    </row>
    <row r="412" spans="1:17" hidden="1" x14ac:dyDescent="0.4">
      <c r="A412">
        <v>492</v>
      </c>
      <c r="B412" s="2"/>
      <c r="C412" s="4">
        <v>45908</v>
      </c>
      <c r="D412" s="5">
        <v>0.375</v>
      </c>
      <c r="E412" s="5">
        <v>0.4375</v>
      </c>
      <c r="F412" s="2" t="s">
        <v>9</v>
      </c>
      <c r="G412" s="2" t="s">
        <v>10</v>
      </c>
      <c r="H412" s="2" t="s">
        <v>456</v>
      </c>
      <c r="I412" s="2" t="s">
        <v>457</v>
      </c>
      <c r="J412" s="2">
        <v>102916</v>
      </c>
      <c r="K412" s="2" t="s">
        <v>458</v>
      </c>
      <c r="L412" s="2" t="s">
        <v>18</v>
      </c>
      <c r="M412" t="str">
        <f>K412 &amp; " " &amp; I412</f>
        <v>González Babiaud Odile</v>
      </c>
      <c r="Q412" t="str">
        <f t="shared" si="37"/>
        <v>102916ogonzalezbabiaud</v>
      </c>
    </row>
    <row r="413" spans="1:17" hidden="1" x14ac:dyDescent="0.4">
      <c r="A413">
        <v>493</v>
      </c>
      <c r="B413" s="2"/>
      <c r="C413" s="4">
        <v>45909</v>
      </c>
      <c r="D413" s="5">
        <v>0.39583333333333331</v>
      </c>
      <c r="E413" s="5">
        <v>0.47916666666666669</v>
      </c>
      <c r="F413" s="2" t="s">
        <v>9</v>
      </c>
      <c r="G413" s="2" t="s">
        <v>10</v>
      </c>
      <c r="H413" s="2" t="s">
        <v>217</v>
      </c>
      <c r="I413" s="2" t="s">
        <v>218</v>
      </c>
      <c r="J413" s="2">
        <v>104959</v>
      </c>
      <c r="K413" s="2" t="s">
        <v>219</v>
      </c>
      <c r="L413" s="2" t="s">
        <v>18</v>
      </c>
      <c r="M413" t="str">
        <f>I413 &amp; " " &amp; K413</f>
        <v>Geoffrey Nguyen</v>
      </c>
      <c r="Q413" t="str">
        <f t="shared" si="37"/>
        <v>104959gnguyen</v>
      </c>
    </row>
    <row r="414" spans="1:17" hidden="1" x14ac:dyDescent="0.4">
      <c r="A414">
        <v>494</v>
      </c>
      <c r="B414" s="2"/>
      <c r="C414" s="4">
        <v>45909</v>
      </c>
      <c r="D414" s="5">
        <v>0.39583333333333331</v>
      </c>
      <c r="E414" s="5">
        <v>0.47916666666666669</v>
      </c>
      <c r="F414" s="2" t="s">
        <v>9</v>
      </c>
      <c r="G414" s="2" t="s">
        <v>10</v>
      </c>
      <c r="H414" s="2" t="s">
        <v>301</v>
      </c>
      <c r="I414" s="2" t="s">
        <v>302</v>
      </c>
      <c r="J414" s="2">
        <v>104959</v>
      </c>
      <c r="K414" s="2" t="s">
        <v>219</v>
      </c>
      <c r="L414" s="2" t="s">
        <v>18</v>
      </c>
      <c r="M414" t="str">
        <f>I414 &amp; " " &amp; K414</f>
        <v>Kim-Hac-Tram Nguyen</v>
      </c>
      <c r="Q414" t="str">
        <f t="shared" si="37"/>
        <v>104959khtnguyen</v>
      </c>
    </row>
    <row r="415" spans="1:17" hidden="1" x14ac:dyDescent="0.4">
      <c r="A415">
        <v>496</v>
      </c>
      <c r="B415" s="2"/>
      <c r="C415" s="4">
        <v>45908</v>
      </c>
      <c r="D415" s="5">
        <v>0.58333333333333337</v>
      </c>
      <c r="E415" s="5">
        <v>0.64583333333333337</v>
      </c>
      <c r="F415" s="2" t="s">
        <v>9</v>
      </c>
      <c r="G415" s="2" t="s">
        <v>10</v>
      </c>
      <c r="H415" s="2" t="s">
        <v>154</v>
      </c>
      <c r="I415" s="2" t="s">
        <v>155</v>
      </c>
      <c r="J415" s="2">
        <v>104551</v>
      </c>
      <c r="K415" s="2" t="s">
        <v>156</v>
      </c>
      <c r="L415" s="2" t="s">
        <v>14</v>
      </c>
      <c r="M415" t="str">
        <f t="shared" ref="M415:M419" si="38">K415 &amp; " " &amp; I415</f>
        <v>Grandcolas Eliane</v>
      </c>
      <c r="Q415" t="str">
        <f t="shared" si="37"/>
        <v>104551egrandcolas</v>
      </c>
    </row>
    <row r="416" spans="1:17" hidden="1" x14ac:dyDescent="0.4">
      <c r="A416">
        <v>497</v>
      </c>
      <c r="B416" s="2"/>
      <c r="C416" s="4">
        <v>45908</v>
      </c>
      <c r="D416" s="5">
        <v>0.47916666666666669</v>
      </c>
      <c r="E416" s="5">
        <v>0.54166666666666663</v>
      </c>
      <c r="F416" s="2" t="s">
        <v>9</v>
      </c>
      <c r="G416" s="2" t="s">
        <v>10</v>
      </c>
      <c r="H416" s="2" t="s">
        <v>154</v>
      </c>
      <c r="I416" s="2" t="s">
        <v>155</v>
      </c>
      <c r="J416" s="2">
        <v>104550</v>
      </c>
      <c r="K416" s="2" t="s">
        <v>156</v>
      </c>
      <c r="L416" s="2" t="s">
        <v>14</v>
      </c>
      <c r="M416" t="str">
        <f t="shared" si="38"/>
        <v>Grandcolas Eliane</v>
      </c>
      <c r="Q416" t="str">
        <f t="shared" si="37"/>
        <v>104550egrandcolas</v>
      </c>
    </row>
    <row r="417" spans="1:17" hidden="1" x14ac:dyDescent="0.4">
      <c r="A417">
        <v>498</v>
      </c>
      <c r="B417" s="2"/>
      <c r="C417" s="4">
        <v>45908</v>
      </c>
      <c r="D417" s="5">
        <v>0.375</v>
      </c>
      <c r="E417" s="5">
        <v>0.4375</v>
      </c>
      <c r="F417" s="2" t="s">
        <v>9</v>
      </c>
      <c r="G417" s="2" t="s">
        <v>10</v>
      </c>
      <c r="H417" s="2" t="s">
        <v>154</v>
      </c>
      <c r="I417" s="2" t="s">
        <v>155</v>
      </c>
      <c r="J417" s="2">
        <v>102916</v>
      </c>
      <c r="K417" s="2" t="s">
        <v>156</v>
      </c>
      <c r="L417" s="2" t="s">
        <v>14</v>
      </c>
      <c r="M417" t="str">
        <f t="shared" si="38"/>
        <v>Grandcolas Eliane</v>
      </c>
      <c r="Q417" t="str">
        <f t="shared" si="37"/>
        <v>102916egrandcolas</v>
      </c>
    </row>
    <row r="418" spans="1:17" hidden="1" x14ac:dyDescent="0.4">
      <c r="A418">
        <v>499</v>
      </c>
      <c r="B418" s="2"/>
      <c r="C418" s="4">
        <v>45909</v>
      </c>
      <c r="D418" s="5">
        <v>0.39583333333333331</v>
      </c>
      <c r="E418" s="5">
        <v>0.47916666666666669</v>
      </c>
      <c r="F418" s="2" t="s">
        <v>9</v>
      </c>
      <c r="G418" s="2" t="s">
        <v>10</v>
      </c>
      <c r="H418" s="2" t="s">
        <v>505</v>
      </c>
      <c r="I418" s="2" t="s">
        <v>506</v>
      </c>
      <c r="J418" s="2">
        <v>104959</v>
      </c>
      <c r="K418" s="2" t="s">
        <v>507</v>
      </c>
      <c r="L418" s="2" t="s">
        <v>14</v>
      </c>
      <c r="M418" t="str">
        <f t="shared" si="38"/>
        <v>Normand-Condat Rébecca</v>
      </c>
      <c r="Q418" t="str">
        <f t="shared" si="37"/>
        <v>104959rnormand-condat</v>
      </c>
    </row>
    <row r="419" spans="1:17" hidden="1" x14ac:dyDescent="0.4">
      <c r="A419">
        <v>500</v>
      </c>
      <c r="B419" s="2"/>
      <c r="C419" s="4">
        <v>45909</v>
      </c>
      <c r="D419" s="5">
        <v>0.39583333333333331</v>
      </c>
      <c r="E419" s="5">
        <v>0.47916666666666669</v>
      </c>
      <c r="F419" s="2" t="s">
        <v>9</v>
      </c>
      <c r="G419" s="2" t="s">
        <v>10</v>
      </c>
      <c r="H419" s="2" t="s">
        <v>441</v>
      </c>
      <c r="I419" s="2" t="s">
        <v>442</v>
      </c>
      <c r="J419" s="2">
        <v>104959</v>
      </c>
      <c r="K419" s="2" t="s">
        <v>443</v>
      </c>
      <c r="L419" s="2" t="s">
        <v>14</v>
      </c>
      <c r="M419" t="str">
        <f t="shared" si="38"/>
        <v>Noufel Nathan</v>
      </c>
      <c r="Q419" t="str">
        <f t="shared" si="37"/>
        <v>104959nnoufel</v>
      </c>
    </row>
    <row r="420" spans="1:17" hidden="1" x14ac:dyDescent="0.4">
      <c r="A420">
        <v>501</v>
      </c>
      <c r="B420" s="2"/>
      <c r="C420" s="4">
        <v>45908</v>
      </c>
      <c r="D420" s="5">
        <v>0.66666666666666663</v>
      </c>
      <c r="E420" s="5">
        <v>0.72916666666666663</v>
      </c>
      <c r="F420" s="2" t="s">
        <v>9</v>
      </c>
      <c r="G420" s="2" t="s">
        <v>10</v>
      </c>
      <c r="H420" s="2" t="s">
        <v>491</v>
      </c>
      <c r="I420" s="2" t="s">
        <v>483</v>
      </c>
      <c r="J420" s="2">
        <v>104855</v>
      </c>
      <c r="K420" s="2" t="s">
        <v>492</v>
      </c>
      <c r="L420" s="2" t="s">
        <v>18</v>
      </c>
      <c r="M420" t="str">
        <f>I420 &amp; " " &amp; K420</f>
        <v>Raphaël Grevin</v>
      </c>
      <c r="Q420" t="str">
        <f t="shared" si="37"/>
        <v>104855rgrevin</v>
      </c>
    </row>
    <row r="421" spans="1:17" hidden="1" x14ac:dyDescent="0.4">
      <c r="A421">
        <v>503</v>
      </c>
      <c r="B421" s="2"/>
      <c r="C421" s="4">
        <v>45908</v>
      </c>
      <c r="D421" s="5">
        <v>0.58333333333333337</v>
      </c>
      <c r="E421" s="5">
        <v>0.64583333333333337</v>
      </c>
      <c r="F421" s="2" t="s">
        <v>9</v>
      </c>
      <c r="G421" s="2" t="s">
        <v>10</v>
      </c>
      <c r="H421" s="2" t="s">
        <v>491</v>
      </c>
      <c r="I421" s="2" t="s">
        <v>483</v>
      </c>
      <c r="J421" s="2">
        <v>104551</v>
      </c>
      <c r="K421" s="2" t="s">
        <v>492</v>
      </c>
      <c r="L421" s="2" t="s">
        <v>18</v>
      </c>
      <c r="M421" t="str">
        <f>I421 &amp; " " &amp; K421</f>
        <v>Raphaël Grevin</v>
      </c>
      <c r="Q421" t="str">
        <f t="shared" si="37"/>
        <v>104551rgrevin</v>
      </c>
    </row>
    <row r="422" spans="1:17" hidden="1" x14ac:dyDescent="0.4">
      <c r="A422">
        <v>504</v>
      </c>
      <c r="B422" s="2"/>
      <c r="C422" s="4">
        <v>45908</v>
      </c>
      <c r="D422" s="5">
        <v>0.47916666666666669</v>
      </c>
      <c r="E422" s="5">
        <v>0.54166666666666663</v>
      </c>
      <c r="F422" s="2" t="s">
        <v>9</v>
      </c>
      <c r="G422" s="2" t="s">
        <v>10</v>
      </c>
      <c r="H422" s="2" t="s">
        <v>491</v>
      </c>
      <c r="I422" s="2" t="s">
        <v>483</v>
      </c>
      <c r="J422" s="2">
        <v>104550</v>
      </c>
      <c r="K422" s="2" t="s">
        <v>492</v>
      </c>
      <c r="L422" s="2" t="s">
        <v>18</v>
      </c>
      <c r="M422" t="str">
        <f>I422 &amp; " " &amp; K422</f>
        <v>Raphaël Grevin</v>
      </c>
      <c r="Q422" t="str">
        <f t="shared" si="37"/>
        <v>104550rgrevin</v>
      </c>
    </row>
    <row r="423" spans="1:17" hidden="1" x14ac:dyDescent="0.4">
      <c r="A423">
        <v>505</v>
      </c>
      <c r="B423" s="2"/>
      <c r="C423" s="4">
        <v>45908</v>
      </c>
      <c r="D423" s="5">
        <v>0.375</v>
      </c>
      <c r="E423" s="5">
        <v>0.4375</v>
      </c>
      <c r="F423" s="2" t="s">
        <v>9</v>
      </c>
      <c r="G423" s="2" t="s">
        <v>10</v>
      </c>
      <c r="H423" s="2" t="s">
        <v>491</v>
      </c>
      <c r="I423" s="2" t="s">
        <v>483</v>
      </c>
      <c r="J423" s="2">
        <v>102916</v>
      </c>
      <c r="K423" s="2" t="s">
        <v>492</v>
      </c>
      <c r="L423" s="2" t="s">
        <v>18</v>
      </c>
      <c r="M423" t="str">
        <f>I423 &amp; " " &amp; K423</f>
        <v>Raphaël Grevin</v>
      </c>
      <c r="Q423" t="str">
        <f t="shared" si="37"/>
        <v>102916rgrevin</v>
      </c>
    </row>
    <row r="424" spans="1:17" hidden="1" x14ac:dyDescent="0.4">
      <c r="A424">
        <v>506</v>
      </c>
      <c r="B424" s="2"/>
      <c r="C424" s="4">
        <v>45909</v>
      </c>
      <c r="D424" s="5">
        <v>0.39583333333333331</v>
      </c>
      <c r="E424" s="5">
        <v>0.47916666666666669</v>
      </c>
      <c r="F424" s="2" t="s">
        <v>9</v>
      </c>
      <c r="G424" s="2" t="s">
        <v>10</v>
      </c>
      <c r="H424" s="2" t="s">
        <v>77</v>
      </c>
      <c r="I424" s="2" t="s">
        <v>78</v>
      </c>
      <c r="J424" s="2">
        <v>104959</v>
      </c>
      <c r="K424" s="2" t="s">
        <v>79</v>
      </c>
      <c r="L424" s="2" t="s">
        <v>14</v>
      </c>
      <c r="M424" t="str">
        <f t="shared" ref="M424:M428" si="39">K424 &amp; " " &amp; I424</f>
        <v>Olech Alexandre</v>
      </c>
      <c r="Q424" t="str">
        <f t="shared" si="37"/>
        <v>104959aolech</v>
      </c>
    </row>
    <row r="425" spans="1:17" hidden="1" x14ac:dyDescent="0.4">
      <c r="A425">
        <v>507</v>
      </c>
      <c r="B425" s="2"/>
      <c r="C425" s="4">
        <v>45909</v>
      </c>
      <c r="D425" s="5">
        <v>0.39583333333333331</v>
      </c>
      <c r="E425" s="5">
        <v>0.47916666666666669</v>
      </c>
      <c r="F425" s="2" t="s">
        <v>9</v>
      </c>
      <c r="G425" s="2" t="s">
        <v>10</v>
      </c>
      <c r="H425" s="2" t="s">
        <v>36</v>
      </c>
      <c r="I425" s="2" t="s">
        <v>37</v>
      </c>
      <c r="J425" s="2">
        <v>104959</v>
      </c>
      <c r="K425" s="2" t="s">
        <v>38</v>
      </c>
      <c r="L425" s="2" t="s">
        <v>18</v>
      </c>
      <c r="M425" t="str">
        <f t="shared" si="39"/>
        <v>Orthmann--Reichenbach Ariel, Eric</v>
      </c>
      <c r="Q425" t="str">
        <f t="shared" si="37"/>
        <v>104959aeorthmannreichenbach</v>
      </c>
    </row>
    <row r="426" spans="1:17" hidden="1" x14ac:dyDescent="0.4">
      <c r="A426">
        <v>508</v>
      </c>
      <c r="B426" s="2"/>
      <c r="C426" s="4">
        <v>45908</v>
      </c>
      <c r="D426" s="5">
        <v>0.66666666666666663</v>
      </c>
      <c r="E426" s="5">
        <v>0.72916666666666663</v>
      </c>
      <c r="F426" s="2" t="s">
        <v>9</v>
      </c>
      <c r="G426" s="2" t="s">
        <v>10</v>
      </c>
      <c r="H426" s="2" t="s">
        <v>345</v>
      </c>
      <c r="I426" s="2" t="s">
        <v>346</v>
      </c>
      <c r="J426" s="2">
        <v>104855</v>
      </c>
      <c r="K426" s="2" t="s">
        <v>347</v>
      </c>
      <c r="L426" s="2" t="s">
        <v>18</v>
      </c>
      <c r="M426" t="str">
        <f t="shared" si="39"/>
        <v>Grillo Loris Valentino</v>
      </c>
      <c r="Q426" t="str">
        <f t="shared" si="37"/>
        <v>104855lvgrillo</v>
      </c>
    </row>
    <row r="427" spans="1:17" hidden="1" x14ac:dyDescent="0.4">
      <c r="A427">
        <v>510</v>
      </c>
      <c r="B427" s="2"/>
      <c r="C427" s="4">
        <v>45908</v>
      </c>
      <c r="D427" s="5">
        <v>0.58333333333333337</v>
      </c>
      <c r="E427" s="5">
        <v>0.64583333333333337</v>
      </c>
      <c r="F427" s="2" t="s">
        <v>9</v>
      </c>
      <c r="G427" s="2" t="s">
        <v>10</v>
      </c>
      <c r="H427" s="2" t="s">
        <v>345</v>
      </c>
      <c r="I427" s="2" t="s">
        <v>346</v>
      </c>
      <c r="J427" s="2">
        <v>104551</v>
      </c>
      <c r="K427" s="2" t="s">
        <v>347</v>
      </c>
      <c r="L427" s="2" t="s">
        <v>18</v>
      </c>
      <c r="M427" t="str">
        <f t="shared" si="39"/>
        <v>Grillo Loris Valentino</v>
      </c>
      <c r="Q427" t="str">
        <f t="shared" si="37"/>
        <v>104551lvgrillo</v>
      </c>
    </row>
    <row r="428" spans="1:17" hidden="1" x14ac:dyDescent="0.4">
      <c r="A428">
        <v>511</v>
      </c>
      <c r="B428" s="2"/>
      <c r="C428" s="4">
        <v>45908</v>
      </c>
      <c r="D428" s="5">
        <v>0.47916666666666669</v>
      </c>
      <c r="E428" s="5">
        <v>0.54166666666666663</v>
      </c>
      <c r="F428" s="2" t="s">
        <v>9</v>
      </c>
      <c r="G428" s="2" t="s">
        <v>10</v>
      </c>
      <c r="H428" s="2" t="s">
        <v>345</v>
      </c>
      <c r="I428" s="2" t="s">
        <v>346</v>
      </c>
      <c r="J428" s="2">
        <v>104550</v>
      </c>
      <c r="K428" s="2" t="s">
        <v>347</v>
      </c>
      <c r="L428" s="2" t="s">
        <v>18</v>
      </c>
      <c r="M428" t="str">
        <f t="shared" si="39"/>
        <v>Grillo Loris Valentino</v>
      </c>
      <c r="Q428" t="str">
        <f t="shared" si="37"/>
        <v>104550lvgrillo</v>
      </c>
    </row>
    <row r="429" spans="1:17" hidden="1" x14ac:dyDescent="0.4">
      <c r="A429">
        <v>512</v>
      </c>
      <c r="B429" s="2"/>
      <c r="C429" s="4">
        <v>45908</v>
      </c>
      <c r="D429" s="5">
        <v>0.375</v>
      </c>
      <c r="E429" s="5">
        <v>0.4375</v>
      </c>
      <c r="F429" s="2" t="s">
        <v>9</v>
      </c>
      <c r="G429" s="2" t="s">
        <v>10</v>
      </c>
      <c r="H429" s="2" t="s">
        <v>345</v>
      </c>
      <c r="I429" s="2" t="s">
        <v>346</v>
      </c>
      <c r="J429" s="2">
        <v>102916</v>
      </c>
      <c r="K429" s="2" t="s">
        <v>347</v>
      </c>
      <c r="L429" s="2" t="s">
        <v>18</v>
      </c>
      <c r="M429" t="str">
        <f>I429 &amp; " " &amp; K429</f>
        <v>Loris Valentino Grillo</v>
      </c>
      <c r="Q429" t="str">
        <f t="shared" si="37"/>
        <v>102916lvgrillo</v>
      </c>
    </row>
    <row r="430" spans="1:17" hidden="1" x14ac:dyDescent="0.4">
      <c r="A430">
        <v>514</v>
      </c>
      <c r="B430" s="2"/>
      <c r="C430" s="4">
        <v>45909</v>
      </c>
      <c r="D430" s="5">
        <v>0.39583333333333331</v>
      </c>
      <c r="E430" s="5">
        <v>0.47916666666666669</v>
      </c>
      <c r="F430" s="2" t="s">
        <v>9</v>
      </c>
      <c r="G430" s="2" t="s">
        <v>10</v>
      </c>
      <c r="H430" s="2" t="s">
        <v>531</v>
      </c>
      <c r="I430" s="2" t="s">
        <v>532</v>
      </c>
      <c r="J430" s="2">
        <v>104959</v>
      </c>
      <c r="K430" s="2" t="s">
        <v>533</v>
      </c>
      <c r="L430" s="2" t="s">
        <v>18</v>
      </c>
      <c r="M430" t="str">
        <f>I430 &amp; " " &amp; K430</f>
        <v>Siah Park</v>
      </c>
      <c r="Q430" t="str">
        <f t="shared" ref="Q430:Q482" si="40">J430&amp;H430</f>
        <v>104959spark</v>
      </c>
    </row>
    <row r="431" spans="1:17" hidden="1" x14ac:dyDescent="0.4">
      <c r="A431">
        <v>515</v>
      </c>
      <c r="B431" s="2"/>
      <c r="C431" s="4">
        <v>45908</v>
      </c>
      <c r="D431" s="5">
        <v>0.66666666666666663</v>
      </c>
      <c r="E431" s="5">
        <v>0.72916666666666663</v>
      </c>
      <c r="F431" s="2" t="s">
        <v>9</v>
      </c>
      <c r="G431" s="2" t="s">
        <v>10</v>
      </c>
      <c r="H431" s="2" t="s">
        <v>45</v>
      </c>
      <c r="I431" s="2" t="s">
        <v>46</v>
      </c>
      <c r="J431" s="2">
        <v>104855</v>
      </c>
      <c r="K431" s="2" t="s">
        <v>47</v>
      </c>
      <c r="L431" s="2" t="s">
        <v>14</v>
      </c>
      <c r="M431" t="str">
        <f>K431 &amp; " " &amp; I431</f>
        <v>Grizard Alexis</v>
      </c>
      <c r="Q431" t="str">
        <f t="shared" si="40"/>
        <v>104855agrizard</v>
      </c>
    </row>
    <row r="432" spans="1:17" hidden="1" x14ac:dyDescent="0.4">
      <c r="A432">
        <v>517</v>
      </c>
      <c r="B432" s="2"/>
      <c r="C432" s="4">
        <v>45908</v>
      </c>
      <c r="D432" s="5">
        <v>0.58333333333333337</v>
      </c>
      <c r="E432" s="5">
        <v>0.64583333333333337</v>
      </c>
      <c r="F432" s="2" t="s">
        <v>9</v>
      </c>
      <c r="G432" s="2" t="s">
        <v>10</v>
      </c>
      <c r="H432" s="2" t="s">
        <v>45</v>
      </c>
      <c r="I432" s="2" t="s">
        <v>46</v>
      </c>
      <c r="J432" s="2">
        <v>104551</v>
      </c>
      <c r="K432" s="2" t="s">
        <v>47</v>
      </c>
      <c r="L432" s="2" t="s">
        <v>18</v>
      </c>
      <c r="M432" t="str">
        <f>K432 &amp; " " &amp; I432</f>
        <v>Grizard Alexis</v>
      </c>
      <c r="Q432" t="str">
        <f t="shared" si="40"/>
        <v>104551agrizard</v>
      </c>
    </row>
    <row r="433" spans="1:17" hidden="1" x14ac:dyDescent="0.4">
      <c r="A433">
        <v>518</v>
      </c>
      <c r="B433" s="2"/>
      <c r="C433" s="4">
        <v>45908</v>
      </c>
      <c r="D433" s="5">
        <v>0.47916666666666669</v>
      </c>
      <c r="E433" s="5">
        <v>0.54166666666666663</v>
      </c>
      <c r="F433" s="2" t="s">
        <v>9</v>
      </c>
      <c r="G433" s="2" t="s">
        <v>10</v>
      </c>
      <c r="H433" s="2" t="s">
        <v>45</v>
      </c>
      <c r="I433" s="2" t="s">
        <v>46</v>
      </c>
      <c r="J433" s="2">
        <v>104550</v>
      </c>
      <c r="K433" s="2" t="s">
        <v>47</v>
      </c>
      <c r="L433" s="2" t="s">
        <v>14</v>
      </c>
      <c r="M433" t="str">
        <f>K433 &amp; " " &amp; I433</f>
        <v>Grizard Alexis</v>
      </c>
      <c r="Q433" t="str">
        <f t="shared" si="40"/>
        <v>104550agrizard</v>
      </c>
    </row>
    <row r="434" spans="1:17" hidden="1" x14ac:dyDescent="0.4">
      <c r="A434">
        <v>519</v>
      </c>
      <c r="B434" s="2"/>
      <c r="C434" s="4">
        <v>45908</v>
      </c>
      <c r="D434" s="5">
        <v>0.375</v>
      </c>
      <c r="E434" s="5">
        <v>0.4375</v>
      </c>
      <c r="F434" s="2" t="s">
        <v>9</v>
      </c>
      <c r="G434" s="2" t="s">
        <v>10</v>
      </c>
      <c r="H434" s="2" t="s">
        <v>45</v>
      </c>
      <c r="I434" s="2" t="s">
        <v>46</v>
      </c>
      <c r="J434" s="2">
        <v>102916</v>
      </c>
      <c r="K434" s="2" t="s">
        <v>47</v>
      </c>
      <c r="L434" s="2" t="s">
        <v>14</v>
      </c>
      <c r="M434" t="str">
        <f>K434 &amp; " " &amp; I434</f>
        <v>Grizard Alexis</v>
      </c>
      <c r="Q434" t="str">
        <f t="shared" si="40"/>
        <v>102916agrizard</v>
      </c>
    </row>
    <row r="435" spans="1:17" hidden="1" x14ac:dyDescent="0.4">
      <c r="A435">
        <v>520</v>
      </c>
      <c r="B435" s="2"/>
      <c r="C435" s="4">
        <v>45909</v>
      </c>
      <c r="D435" s="5">
        <v>0.39583333333333331</v>
      </c>
      <c r="E435" s="5">
        <v>0.47916666666666669</v>
      </c>
      <c r="F435" s="2" t="s">
        <v>9</v>
      </c>
      <c r="G435" s="2" t="s">
        <v>10</v>
      </c>
      <c r="H435" s="2" t="s">
        <v>386</v>
      </c>
      <c r="I435" s="2" t="s">
        <v>387</v>
      </c>
      <c r="J435" s="2">
        <v>104959</v>
      </c>
      <c r="K435" s="2" t="s">
        <v>388</v>
      </c>
      <c r="L435" s="2" t="s">
        <v>18</v>
      </c>
      <c r="M435" t="str">
        <f>I435 &amp; " " &amp; K435</f>
        <v>Miho Pascal</v>
      </c>
      <c r="Q435" t="str">
        <f t="shared" si="40"/>
        <v>104959mpascal1</v>
      </c>
    </row>
    <row r="436" spans="1:17" hidden="1" x14ac:dyDescent="0.4">
      <c r="A436">
        <v>521</v>
      </c>
      <c r="B436" s="2"/>
      <c r="C436" s="4">
        <v>45909</v>
      </c>
      <c r="D436" s="5">
        <v>0.39583333333333331</v>
      </c>
      <c r="E436" s="5">
        <v>0.47916666666666669</v>
      </c>
      <c r="F436" s="2" t="s">
        <v>9</v>
      </c>
      <c r="G436" s="2" t="s">
        <v>10</v>
      </c>
      <c r="H436" s="2" t="s">
        <v>105</v>
      </c>
      <c r="I436" s="2" t="s">
        <v>97</v>
      </c>
      <c r="J436" s="2">
        <v>104959</v>
      </c>
      <c r="K436" s="2" t="s">
        <v>106</v>
      </c>
      <c r="L436" s="2" t="s">
        <v>14</v>
      </c>
      <c r="M436" t="str">
        <f>K436 &amp; " " &amp; I436</f>
        <v>Pauvert Clément</v>
      </c>
      <c r="Q436" t="str">
        <f t="shared" si="40"/>
        <v>104959cpauvert</v>
      </c>
    </row>
    <row r="437" spans="1:17" hidden="1" x14ac:dyDescent="0.4">
      <c r="A437">
        <v>522</v>
      </c>
      <c r="B437" s="2"/>
      <c r="C437" s="4">
        <v>45908</v>
      </c>
      <c r="D437" s="5">
        <v>0.66666666666666663</v>
      </c>
      <c r="E437" s="5">
        <v>0.72916666666666663</v>
      </c>
      <c r="F437" s="2" t="s">
        <v>9</v>
      </c>
      <c r="G437" s="2" t="s">
        <v>10</v>
      </c>
      <c r="H437" s="2" t="s">
        <v>48</v>
      </c>
      <c r="I437" s="2" t="s">
        <v>49</v>
      </c>
      <c r="J437" s="2">
        <v>104855</v>
      </c>
      <c r="K437" s="2" t="s">
        <v>50</v>
      </c>
      <c r="L437" s="2" t="s">
        <v>18</v>
      </c>
      <c r="M437" t="str">
        <f>I437 &amp; " " &amp; K437</f>
        <v>Ansel Gross</v>
      </c>
      <c r="Q437" t="str">
        <f t="shared" si="40"/>
        <v>104855agross1</v>
      </c>
    </row>
    <row r="438" spans="1:17" hidden="1" x14ac:dyDescent="0.4">
      <c r="A438">
        <v>524</v>
      </c>
      <c r="B438" s="2"/>
      <c r="C438" s="4">
        <v>45908</v>
      </c>
      <c r="D438" s="5">
        <v>0.58333333333333337</v>
      </c>
      <c r="E438" s="5">
        <v>0.64583333333333337</v>
      </c>
      <c r="F438" s="2" t="s">
        <v>9</v>
      </c>
      <c r="G438" s="2" t="s">
        <v>10</v>
      </c>
      <c r="H438" s="2" t="s">
        <v>48</v>
      </c>
      <c r="I438" s="2" t="s">
        <v>49</v>
      </c>
      <c r="J438" s="2">
        <v>104551</v>
      </c>
      <c r="K438" s="2" t="s">
        <v>50</v>
      </c>
      <c r="L438" s="2" t="s">
        <v>18</v>
      </c>
      <c r="M438" t="str">
        <f>I438 &amp; " " &amp; K438</f>
        <v>Ansel Gross</v>
      </c>
      <c r="Q438" t="str">
        <f t="shared" si="40"/>
        <v>104551agross1</v>
      </c>
    </row>
    <row r="439" spans="1:17" hidden="1" x14ac:dyDescent="0.4">
      <c r="A439">
        <v>525</v>
      </c>
      <c r="B439" s="2"/>
      <c r="C439" s="4">
        <v>45908</v>
      </c>
      <c r="D439" s="5">
        <v>0.47916666666666669</v>
      </c>
      <c r="E439" s="5">
        <v>0.54166666666666663</v>
      </c>
      <c r="F439" s="2" t="s">
        <v>9</v>
      </c>
      <c r="G439" s="2" t="s">
        <v>10</v>
      </c>
      <c r="H439" s="2" t="s">
        <v>48</v>
      </c>
      <c r="I439" s="2" t="s">
        <v>49</v>
      </c>
      <c r="J439" s="2">
        <v>104550</v>
      </c>
      <c r="K439" s="2" t="s">
        <v>50</v>
      </c>
      <c r="L439" s="2" t="s">
        <v>18</v>
      </c>
      <c r="M439" t="str">
        <f>I439 &amp; " " &amp; K439</f>
        <v>Ansel Gross</v>
      </c>
      <c r="Q439" t="str">
        <f t="shared" si="40"/>
        <v>104550agross1</v>
      </c>
    </row>
    <row r="440" spans="1:17" hidden="1" x14ac:dyDescent="0.4">
      <c r="A440">
        <v>526</v>
      </c>
      <c r="B440" s="2"/>
      <c r="C440" s="4">
        <v>45908</v>
      </c>
      <c r="D440" s="5">
        <v>0.375</v>
      </c>
      <c r="E440" s="5">
        <v>0.4375</v>
      </c>
      <c r="F440" s="2" t="s">
        <v>9</v>
      </c>
      <c r="G440" s="2" t="s">
        <v>10</v>
      </c>
      <c r="H440" s="2" t="s">
        <v>48</v>
      </c>
      <c r="I440" s="2" t="s">
        <v>49</v>
      </c>
      <c r="J440" s="2">
        <v>102916</v>
      </c>
      <c r="K440" s="2" t="s">
        <v>50</v>
      </c>
      <c r="L440" s="2" t="s">
        <v>18</v>
      </c>
      <c r="M440" t="str">
        <f>I440 &amp; " " &amp; K440</f>
        <v>Ansel Gross</v>
      </c>
      <c r="Q440" t="str">
        <f t="shared" si="40"/>
        <v>102916agross1</v>
      </c>
    </row>
    <row r="441" spans="1:17" hidden="1" x14ac:dyDescent="0.4">
      <c r="A441">
        <v>527</v>
      </c>
      <c r="B441" s="2"/>
      <c r="C441" s="4">
        <v>45909</v>
      </c>
      <c r="D441" s="5">
        <v>0.39583333333333331</v>
      </c>
      <c r="E441" s="5">
        <v>0.47916666666666669</v>
      </c>
      <c r="F441" s="2" t="s">
        <v>9</v>
      </c>
      <c r="G441" s="2" t="s">
        <v>10</v>
      </c>
      <c r="H441" s="2" t="s">
        <v>534</v>
      </c>
      <c r="I441" s="2" t="s">
        <v>523</v>
      </c>
      <c r="J441" s="2">
        <v>104959</v>
      </c>
      <c r="K441" s="2" t="s">
        <v>535</v>
      </c>
      <c r="L441" s="2" t="s">
        <v>18</v>
      </c>
      <c r="M441" t="str">
        <f>I441 &amp; " " &amp; K441</f>
        <v>Sarah Pérarnaud Aramendi</v>
      </c>
      <c r="Q441" t="str">
        <f t="shared" si="40"/>
        <v>104959sperarnaudaramendi</v>
      </c>
    </row>
    <row r="442" spans="1:17" hidden="1" x14ac:dyDescent="0.4">
      <c r="A442">
        <v>528</v>
      </c>
      <c r="B442" s="2"/>
      <c r="C442" s="4">
        <v>45909</v>
      </c>
      <c r="D442" s="5">
        <v>0.39583333333333331</v>
      </c>
      <c r="E442" s="5">
        <v>0.47916666666666669</v>
      </c>
      <c r="F442" s="2" t="s">
        <v>9</v>
      </c>
      <c r="G442" s="2" t="s">
        <v>10</v>
      </c>
      <c r="H442" s="2" t="s">
        <v>293</v>
      </c>
      <c r="I442" s="2" t="s">
        <v>273</v>
      </c>
      <c r="J442" s="2">
        <v>104959</v>
      </c>
      <c r="K442" s="2" t="s">
        <v>294</v>
      </c>
      <c r="L442" s="2" t="s">
        <v>14</v>
      </c>
      <c r="M442" t="str">
        <f>K442 &amp; " " &amp; I442</f>
        <v>Perez Jules</v>
      </c>
      <c r="Q442" t="str">
        <f t="shared" si="40"/>
        <v>104959jperez1</v>
      </c>
    </row>
    <row r="443" spans="1:17" hidden="1" x14ac:dyDescent="0.4">
      <c r="A443">
        <v>529</v>
      </c>
      <c r="B443" s="2"/>
      <c r="C443" s="4">
        <v>45908</v>
      </c>
      <c r="D443" s="5">
        <v>0.66666666666666663</v>
      </c>
      <c r="E443" s="5">
        <v>0.72916666666666663</v>
      </c>
      <c r="F443" s="2" t="s">
        <v>9</v>
      </c>
      <c r="G443" s="2" t="s">
        <v>10</v>
      </c>
      <c r="H443" s="2" t="s">
        <v>560</v>
      </c>
      <c r="I443" s="2" t="s">
        <v>561</v>
      </c>
      <c r="J443" s="2">
        <v>104855</v>
      </c>
      <c r="K443" s="2" t="s">
        <v>562</v>
      </c>
      <c r="L443" s="2" t="s">
        <v>18</v>
      </c>
      <c r="M443" t="str">
        <f>I443 &amp; " " &amp; K443</f>
        <v>Thomas Guilbert Selb</v>
      </c>
      <c r="Q443" t="str">
        <f t="shared" si="40"/>
        <v>104855tguilbertselb</v>
      </c>
    </row>
    <row r="444" spans="1:17" hidden="1" x14ac:dyDescent="0.4">
      <c r="A444">
        <v>531</v>
      </c>
      <c r="B444" s="2"/>
      <c r="C444" s="4">
        <v>45908</v>
      </c>
      <c r="D444" s="5">
        <v>0.58333333333333337</v>
      </c>
      <c r="E444" s="5">
        <v>0.64583333333333337</v>
      </c>
      <c r="F444" s="2" t="s">
        <v>9</v>
      </c>
      <c r="G444" s="2" t="s">
        <v>10</v>
      </c>
      <c r="H444" s="2" t="s">
        <v>560</v>
      </c>
      <c r="I444" s="2" t="s">
        <v>561</v>
      </c>
      <c r="J444" s="2">
        <v>104551</v>
      </c>
      <c r="K444" s="2" t="s">
        <v>562</v>
      </c>
      <c r="L444" s="2" t="s">
        <v>18</v>
      </c>
      <c r="M444" t="str">
        <f t="shared" ref="M444:M449" si="41">I444 &amp; " " &amp; K444</f>
        <v>Thomas Guilbert Selb</v>
      </c>
      <c r="Q444" t="str">
        <f t="shared" si="40"/>
        <v>104551tguilbertselb</v>
      </c>
    </row>
    <row r="445" spans="1:17" hidden="1" x14ac:dyDescent="0.4">
      <c r="A445">
        <v>532</v>
      </c>
      <c r="B445" s="2"/>
      <c r="C445" s="4">
        <v>45908</v>
      </c>
      <c r="D445" s="5">
        <v>0.47916666666666669</v>
      </c>
      <c r="E445" s="5">
        <v>0.54166666666666663</v>
      </c>
      <c r="F445" s="2" t="s">
        <v>9</v>
      </c>
      <c r="G445" s="2" t="s">
        <v>10</v>
      </c>
      <c r="H445" s="2" t="s">
        <v>560</v>
      </c>
      <c r="I445" s="2" t="s">
        <v>561</v>
      </c>
      <c r="J445" s="2">
        <v>104550</v>
      </c>
      <c r="K445" s="2" t="s">
        <v>562</v>
      </c>
      <c r="L445" s="2" t="s">
        <v>18</v>
      </c>
      <c r="M445" t="str">
        <f t="shared" si="41"/>
        <v>Thomas Guilbert Selb</v>
      </c>
      <c r="Q445" t="str">
        <f t="shared" si="40"/>
        <v>104550tguilbertselb</v>
      </c>
    </row>
    <row r="446" spans="1:17" hidden="1" x14ac:dyDescent="0.4">
      <c r="A446">
        <v>533</v>
      </c>
      <c r="B446" s="2"/>
      <c r="C446" s="4">
        <v>45908</v>
      </c>
      <c r="D446" s="5">
        <v>0.375</v>
      </c>
      <c r="E446" s="5">
        <v>0.4375</v>
      </c>
      <c r="F446" s="2" t="s">
        <v>9</v>
      </c>
      <c r="G446" s="2" t="s">
        <v>10</v>
      </c>
      <c r="H446" s="2" t="s">
        <v>560</v>
      </c>
      <c r="I446" s="2" t="s">
        <v>561</v>
      </c>
      <c r="J446" s="2">
        <v>102916</v>
      </c>
      <c r="K446" s="2" t="s">
        <v>562</v>
      </c>
      <c r="L446" s="2" t="s">
        <v>18</v>
      </c>
      <c r="M446" t="str">
        <f t="shared" si="41"/>
        <v>Thomas Guilbert Selb</v>
      </c>
      <c r="Q446" t="str">
        <f t="shared" si="40"/>
        <v>102916tguilbertselb</v>
      </c>
    </row>
    <row r="447" spans="1:17" hidden="1" x14ac:dyDescent="0.4">
      <c r="A447">
        <v>534</v>
      </c>
      <c r="B447" s="2"/>
      <c r="C447" s="4">
        <v>45909</v>
      </c>
      <c r="D447" s="5">
        <v>0.39583333333333331</v>
      </c>
      <c r="E447" s="5">
        <v>0.47916666666666669</v>
      </c>
      <c r="F447" s="2" t="s">
        <v>9</v>
      </c>
      <c r="G447" s="2" t="s">
        <v>10</v>
      </c>
      <c r="H447" s="2" t="s">
        <v>80</v>
      </c>
      <c r="I447" s="2" t="s">
        <v>81</v>
      </c>
      <c r="J447" s="2">
        <v>104959</v>
      </c>
      <c r="K447" s="2" t="s">
        <v>82</v>
      </c>
      <c r="L447" s="2" t="s">
        <v>18</v>
      </c>
      <c r="M447" t="str">
        <f t="shared" si="41"/>
        <v>Armand Pesnel</v>
      </c>
      <c r="Q447" t="str">
        <f t="shared" si="40"/>
        <v>104959apesnel</v>
      </c>
    </row>
    <row r="448" spans="1:17" hidden="1" x14ac:dyDescent="0.4">
      <c r="A448">
        <v>535</v>
      </c>
      <c r="B448" s="2"/>
      <c r="C448" s="4">
        <v>45909</v>
      </c>
      <c r="D448" s="5">
        <v>0.39583333333333331</v>
      </c>
      <c r="E448" s="5">
        <v>0.47916666666666669</v>
      </c>
      <c r="F448" s="2" t="s">
        <v>9</v>
      </c>
      <c r="G448" s="2" t="s">
        <v>10</v>
      </c>
      <c r="H448" s="2" t="s">
        <v>83</v>
      </c>
      <c r="I448" s="2" t="s">
        <v>31</v>
      </c>
      <c r="J448" s="2">
        <v>104959</v>
      </c>
      <c r="K448" s="2" t="s">
        <v>84</v>
      </c>
      <c r="L448" s="2" t="s">
        <v>18</v>
      </c>
      <c r="M448" t="str">
        <f t="shared" si="41"/>
        <v>Antoine Pichard</v>
      </c>
      <c r="Q448" t="str">
        <f t="shared" si="40"/>
        <v>104959apichard</v>
      </c>
    </row>
    <row r="449" spans="1:17" hidden="1" x14ac:dyDescent="0.4">
      <c r="A449">
        <v>536</v>
      </c>
      <c r="B449" s="2"/>
      <c r="C449" s="4">
        <v>45908</v>
      </c>
      <c r="D449" s="5">
        <v>0.66666666666666663</v>
      </c>
      <c r="E449" s="5">
        <v>0.72916666666666663</v>
      </c>
      <c r="F449" s="2" t="s">
        <v>9</v>
      </c>
      <c r="G449" s="2" t="s">
        <v>10</v>
      </c>
      <c r="H449" s="2" t="s">
        <v>323</v>
      </c>
      <c r="I449" s="2" t="s">
        <v>313</v>
      </c>
      <c r="J449" s="2">
        <v>104855</v>
      </c>
      <c r="K449" s="2" t="s">
        <v>324</v>
      </c>
      <c r="L449" s="2" t="s">
        <v>18</v>
      </c>
      <c r="M449" t="str">
        <f t="shared" si="41"/>
        <v>Louis Guilleux</v>
      </c>
      <c r="Q449" t="str">
        <f t="shared" si="40"/>
        <v>104855lguilleux</v>
      </c>
    </row>
    <row r="450" spans="1:17" hidden="1" x14ac:dyDescent="0.4">
      <c r="A450">
        <v>538</v>
      </c>
      <c r="B450" s="2"/>
      <c r="C450" s="4">
        <v>45908</v>
      </c>
      <c r="D450" s="5">
        <v>0.58333333333333337</v>
      </c>
      <c r="E450" s="5">
        <v>0.64583333333333337</v>
      </c>
      <c r="F450" s="2" t="s">
        <v>9</v>
      </c>
      <c r="G450" s="2" t="s">
        <v>10</v>
      </c>
      <c r="H450" s="2" t="s">
        <v>323</v>
      </c>
      <c r="I450" s="2" t="s">
        <v>313</v>
      </c>
      <c r="J450" s="2">
        <v>104551</v>
      </c>
      <c r="K450" s="2" t="s">
        <v>324</v>
      </c>
      <c r="L450" s="2" t="s">
        <v>18</v>
      </c>
      <c r="M450" t="str">
        <f>I450 &amp; " " &amp; K450</f>
        <v>Louis Guilleux</v>
      </c>
      <c r="Q450" t="str">
        <f t="shared" si="40"/>
        <v>104551lguilleux</v>
      </c>
    </row>
    <row r="451" spans="1:17" hidden="1" x14ac:dyDescent="0.4">
      <c r="A451">
        <v>539</v>
      </c>
      <c r="B451" s="2"/>
      <c r="C451" s="4">
        <v>45908</v>
      </c>
      <c r="D451" s="5">
        <v>0.47916666666666669</v>
      </c>
      <c r="E451" s="5">
        <v>0.54166666666666663</v>
      </c>
      <c r="F451" s="2" t="s">
        <v>9</v>
      </c>
      <c r="G451" s="2" t="s">
        <v>10</v>
      </c>
      <c r="H451" s="2" t="s">
        <v>323</v>
      </c>
      <c r="I451" s="2" t="s">
        <v>313</v>
      </c>
      <c r="J451" s="2">
        <v>104550</v>
      </c>
      <c r="K451" s="2" t="s">
        <v>324</v>
      </c>
      <c r="L451" s="2" t="s">
        <v>18</v>
      </c>
      <c r="M451" t="str">
        <f>I451 &amp; " " &amp; K451</f>
        <v>Louis Guilleux</v>
      </c>
      <c r="Q451" t="str">
        <f t="shared" si="40"/>
        <v>104550lguilleux</v>
      </c>
    </row>
    <row r="452" spans="1:17" hidden="1" x14ac:dyDescent="0.4">
      <c r="A452">
        <v>540</v>
      </c>
      <c r="B452" s="2"/>
      <c r="C452" s="4">
        <v>45908</v>
      </c>
      <c r="D452" s="5">
        <v>0.375</v>
      </c>
      <c r="E452" s="5">
        <v>0.4375</v>
      </c>
      <c r="F452" s="2" t="s">
        <v>9</v>
      </c>
      <c r="G452" s="2" t="s">
        <v>10</v>
      </c>
      <c r="H452" s="2" t="s">
        <v>323</v>
      </c>
      <c r="I452" s="2" t="s">
        <v>313</v>
      </c>
      <c r="J452" s="2">
        <v>102916</v>
      </c>
      <c r="K452" s="2" t="s">
        <v>324</v>
      </c>
      <c r="L452" s="2" t="s">
        <v>18</v>
      </c>
      <c r="M452" t="str">
        <f>K452 &amp; " " &amp; I452</f>
        <v>Guilleux Louis</v>
      </c>
      <c r="Q452" t="str">
        <f t="shared" si="40"/>
        <v>102916lguilleux</v>
      </c>
    </row>
    <row r="453" spans="1:17" hidden="1" x14ac:dyDescent="0.4">
      <c r="A453">
        <v>542</v>
      </c>
      <c r="B453" s="2"/>
      <c r="C453" s="4">
        <v>45909</v>
      </c>
      <c r="D453" s="5">
        <v>0.39583333333333331</v>
      </c>
      <c r="E453" s="5">
        <v>0.47916666666666669</v>
      </c>
      <c r="F453" s="2" t="s">
        <v>9</v>
      </c>
      <c r="G453" s="2" t="s">
        <v>10</v>
      </c>
      <c r="H453" s="2" t="s">
        <v>391</v>
      </c>
      <c r="I453" s="2" t="s">
        <v>392</v>
      </c>
      <c r="J453" s="2">
        <v>104959</v>
      </c>
      <c r="K453" s="2" t="s">
        <v>393</v>
      </c>
      <c r="L453" s="2" t="s">
        <v>18</v>
      </c>
      <c r="M453" t="str">
        <f t="shared" ref="M453:M458" si="42">I453 &amp; " " &amp; K453</f>
        <v>Morgane Plassard</v>
      </c>
      <c r="Q453" t="str">
        <f t="shared" si="40"/>
        <v>104959mplassard1</v>
      </c>
    </row>
    <row r="454" spans="1:17" hidden="1" x14ac:dyDescent="0.4">
      <c r="A454">
        <v>543</v>
      </c>
      <c r="B454" s="2"/>
      <c r="C454" s="4">
        <v>45908</v>
      </c>
      <c r="D454" s="5">
        <v>0.66666666666666663</v>
      </c>
      <c r="E454" s="5">
        <v>0.72916666666666663</v>
      </c>
      <c r="F454" s="2" t="s">
        <v>9</v>
      </c>
      <c r="G454" s="2" t="s">
        <v>10</v>
      </c>
      <c r="H454" s="2" t="s">
        <v>51</v>
      </c>
      <c r="I454" s="2" t="s">
        <v>52</v>
      </c>
      <c r="J454" s="2">
        <v>104855</v>
      </c>
      <c r="K454" s="2" t="s">
        <v>53</v>
      </c>
      <c r="L454" s="2" t="s">
        <v>18</v>
      </c>
      <c r="M454" t="str">
        <f t="shared" si="42"/>
        <v>Adrien Guy-Duché</v>
      </c>
      <c r="Q454" t="str">
        <f t="shared" si="40"/>
        <v>104855aguyduche</v>
      </c>
    </row>
    <row r="455" spans="1:17" hidden="1" x14ac:dyDescent="0.4">
      <c r="A455">
        <v>545</v>
      </c>
      <c r="B455" s="2"/>
      <c r="C455" s="4">
        <v>45908</v>
      </c>
      <c r="D455" s="5">
        <v>0.58333333333333337</v>
      </c>
      <c r="E455" s="5">
        <v>0.64583333333333337</v>
      </c>
      <c r="F455" s="2" t="s">
        <v>9</v>
      </c>
      <c r="G455" s="2" t="s">
        <v>10</v>
      </c>
      <c r="H455" s="2" t="s">
        <v>51</v>
      </c>
      <c r="I455" s="2" t="s">
        <v>52</v>
      </c>
      <c r="J455" s="2">
        <v>104551</v>
      </c>
      <c r="K455" s="2" t="s">
        <v>53</v>
      </c>
      <c r="L455" s="2" t="s">
        <v>18</v>
      </c>
      <c r="M455" t="str">
        <f t="shared" si="42"/>
        <v>Adrien Guy-Duché</v>
      </c>
      <c r="Q455" t="str">
        <f t="shared" si="40"/>
        <v>104551aguyduche</v>
      </c>
    </row>
    <row r="456" spans="1:17" hidden="1" x14ac:dyDescent="0.4">
      <c r="A456">
        <v>546</v>
      </c>
      <c r="B456" s="2"/>
      <c r="C456" s="4">
        <v>45908</v>
      </c>
      <c r="D456" s="5">
        <v>0.47916666666666669</v>
      </c>
      <c r="E456" s="5">
        <v>0.54166666666666663</v>
      </c>
      <c r="F456" s="2" t="s">
        <v>9</v>
      </c>
      <c r="G456" s="2" t="s">
        <v>10</v>
      </c>
      <c r="H456" s="2" t="s">
        <v>51</v>
      </c>
      <c r="I456" s="2" t="s">
        <v>52</v>
      </c>
      <c r="J456" s="2">
        <v>104550</v>
      </c>
      <c r="K456" s="2" t="s">
        <v>53</v>
      </c>
      <c r="L456" s="2" t="s">
        <v>18</v>
      </c>
      <c r="M456" t="str">
        <f t="shared" si="42"/>
        <v>Adrien Guy-Duché</v>
      </c>
      <c r="Q456" t="str">
        <f t="shared" si="40"/>
        <v>104550aguyduche</v>
      </c>
    </row>
    <row r="457" spans="1:17" hidden="1" x14ac:dyDescent="0.4">
      <c r="A457">
        <v>547</v>
      </c>
      <c r="B457" s="2"/>
      <c r="C457" s="4">
        <v>45908</v>
      </c>
      <c r="D457" s="5">
        <v>0.375</v>
      </c>
      <c r="E457" s="5">
        <v>0.4375</v>
      </c>
      <c r="F457" s="2" t="s">
        <v>9</v>
      </c>
      <c r="G457" s="2" t="s">
        <v>10</v>
      </c>
      <c r="H457" s="2" t="s">
        <v>51</v>
      </c>
      <c r="I457" s="2" t="s">
        <v>52</v>
      </c>
      <c r="J457" s="2">
        <v>102916</v>
      </c>
      <c r="K457" s="2" t="s">
        <v>53</v>
      </c>
      <c r="L457" s="2" t="s">
        <v>18</v>
      </c>
      <c r="M457" t="str">
        <f t="shared" si="42"/>
        <v>Adrien Guy-Duché</v>
      </c>
      <c r="Q457" t="str">
        <f t="shared" si="40"/>
        <v>102916aguyduche</v>
      </c>
    </row>
    <row r="458" spans="1:17" hidden="1" x14ac:dyDescent="0.4">
      <c r="A458">
        <v>548</v>
      </c>
      <c r="B458" s="2"/>
      <c r="C458" s="4">
        <v>45909</v>
      </c>
      <c r="D458" s="5">
        <v>0.39583333333333331</v>
      </c>
      <c r="E458" s="5">
        <v>0.47916666666666669</v>
      </c>
      <c r="F458" s="2" t="s">
        <v>9</v>
      </c>
      <c r="G458" s="2" t="s">
        <v>10</v>
      </c>
      <c r="H458" s="2" t="s">
        <v>295</v>
      </c>
      <c r="I458" s="2" t="s">
        <v>296</v>
      </c>
      <c r="J458" s="2">
        <v>104959</v>
      </c>
      <c r="K458" s="2" t="s">
        <v>297</v>
      </c>
      <c r="L458" s="2" t="s">
        <v>18</v>
      </c>
      <c r="M458" t="str">
        <f t="shared" si="42"/>
        <v>Josserand Poumes</v>
      </c>
      <c r="Q458" t="str">
        <f t="shared" si="40"/>
        <v>104959jpoumes</v>
      </c>
    </row>
    <row r="459" spans="1:17" hidden="1" x14ac:dyDescent="0.4">
      <c r="A459">
        <v>549</v>
      </c>
      <c r="B459" s="2"/>
      <c r="C459" s="4">
        <v>45909</v>
      </c>
      <c r="D459" s="5">
        <v>0.39583333333333331</v>
      </c>
      <c r="E459" s="5">
        <v>0.47916666666666669</v>
      </c>
      <c r="F459" s="2" t="s">
        <v>9</v>
      </c>
      <c r="G459" s="2" t="s">
        <v>10</v>
      </c>
      <c r="H459" s="2" t="s">
        <v>569</v>
      </c>
      <c r="I459" s="2" t="s">
        <v>561</v>
      </c>
      <c r="J459" s="2">
        <v>104959</v>
      </c>
      <c r="K459" s="2" t="s">
        <v>570</v>
      </c>
      <c r="L459" s="2" t="s">
        <v>14</v>
      </c>
      <c r="M459" t="str">
        <f>K459 &amp; " " &amp; I459</f>
        <v>Pouyé Thomas</v>
      </c>
      <c r="Q459" t="str">
        <f t="shared" si="40"/>
        <v>104959tpouye</v>
      </c>
    </row>
    <row r="460" spans="1:17" hidden="1" x14ac:dyDescent="0.4">
      <c r="A460">
        <v>550</v>
      </c>
      <c r="B460" s="2"/>
      <c r="C460" s="4">
        <v>45908</v>
      </c>
      <c r="D460" s="5">
        <v>0.66666666666666663</v>
      </c>
      <c r="E460" s="5">
        <v>0.72916666666666663</v>
      </c>
      <c r="F460" s="2" t="s">
        <v>9</v>
      </c>
      <c r="G460" s="2" t="s">
        <v>10</v>
      </c>
      <c r="H460" s="2" t="s">
        <v>514</v>
      </c>
      <c r="I460" s="2" t="s">
        <v>515</v>
      </c>
      <c r="J460" s="2">
        <v>104855</v>
      </c>
      <c r="K460" s="2" t="s">
        <v>516</v>
      </c>
      <c r="L460" s="2" t="s">
        <v>18</v>
      </c>
      <c r="M460" t="str">
        <f>I460 &amp; " " &amp; K460</f>
        <v>Sarra Hamdoun</v>
      </c>
      <c r="Q460" t="str">
        <f t="shared" si="40"/>
        <v>104855shamdoun</v>
      </c>
    </row>
    <row r="461" spans="1:17" hidden="1" x14ac:dyDescent="0.4">
      <c r="A461">
        <v>552</v>
      </c>
      <c r="B461" s="2"/>
      <c r="C461" s="4">
        <v>45908</v>
      </c>
      <c r="D461" s="5">
        <v>0.58333333333333337</v>
      </c>
      <c r="E461" s="5">
        <v>0.64583333333333337</v>
      </c>
      <c r="F461" s="2" t="s">
        <v>9</v>
      </c>
      <c r="G461" s="2" t="s">
        <v>10</v>
      </c>
      <c r="H461" s="2" t="s">
        <v>514</v>
      </c>
      <c r="I461" s="2" t="s">
        <v>515</v>
      </c>
      <c r="J461" s="2">
        <v>104551</v>
      </c>
      <c r="K461" s="2" t="s">
        <v>516</v>
      </c>
      <c r="L461" s="2" t="s">
        <v>18</v>
      </c>
      <c r="M461" t="str">
        <f>I461 &amp; " " &amp; K461</f>
        <v>Sarra Hamdoun</v>
      </c>
      <c r="Q461" t="str">
        <f t="shared" si="40"/>
        <v>104551shamdoun</v>
      </c>
    </row>
    <row r="462" spans="1:17" hidden="1" x14ac:dyDescent="0.4">
      <c r="A462">
        <v>553</v>
      </c>
      <c r="B462" s="2"/>
      <c r="C462" s="4">
        <v>45908</v>
      </c>
      <c r="D462" s="5">
        <v>0.47916666666666669</v>
      </c>
      <c r="E462" s="5">
        <v>0.54166666666666663</v>
      </c>
      <c r="F462" s="2" t="s">
        <v>9</v>
      </c>
      <c r="G462" s="2" t="s">
        <v>10</v>
      </c>
      <c r="H462" s="2" t="s">
        <v>514</v>
      </c>
      <c r="I462" s="2" t="s">
        <v>515</v>
      </c>
      <c r="J462" s="2">
        <v>104550</v>
      </c>
      <c r="K462" s="2" t="s">
        <v>516</v>
      </c>
      <c r="L462" s="2" t="s">
        <v>18</v>
      </c>
      <c r="M462" t="str">
        <f>I462 &amp; " " &amp; K462</f>
        <v>Sarra Hamdoun</v>
      </c>
      <c r="Q462" t="str">
        <f t="shared" si="40"/>
        <v>104550shamdoun</v>
      </c>
    </row>
    <row r="463" spans="1:17" hidden="1" x14ac:dyDescent="0.4">
      <c r="A463">
        <v>554</v>
      </c>
      <c r="B463" s="2"/>
      <c r="C463" s="4">
        <v>45908</v>
      </c>
      <c r="D463" s="5">
        <v>0.375</v>
      </c>
      <c r="E463" s="5">
        <v>0.4375</v>
      </c>
      <c r="F463" s="2" t="s">
        <v>9</v>
      </c>
      <c r="G463" s="2" t="s">
        <v>10</v>
      </c>
      <c r="H463" s="2" t="s">
        <v>514</v>
      </c>
      <c r="I463" s="2" t="s">
        <v>515</v>
      </c>
      <c r="J463" s="2">
        <v>102916</v>
      </c>
      <c r="K463" s="2" t="s">
        <v>516</v>
      </c>
      <c r="L463" s="2" t="s">
        <v>14</v>
      </c>
      <c r="M463" t="str">
        <f>K463 &amp; " " &amp; I463</f>
        <v>Hamdoun Sarra</v>
      </c>
      <c r="Q463" t="str">
        <f t="shared" si="40"/>
        <v>102916shamdoun</v>
      </c>
    </row>
    <row r="464" spans="1:17" hidden="1" x14ac:dyDescent="0.4">
      <c r="A464">
        <v>555</v>
      </c>
      <c r="B464" s="2"/>
      <c r="C464" s="4">
        <v>45909</v>
      </c>
      <c r="D464" s="5">
        <v>0.39583333333333331</v>
      </c>
      <c r="E464" s="5">
        <v>0.47916666666666669</v>
      </c>
      <c r="F464" s="2" t="s">
        <v>9</v>
      </c>
      <c r="G464" s="2" t="s">
        <v>10</v>
      </c>
      <c r="H464" s="2" t="s">
        <v>207</v>
      </c>
      <c r="I464" s="2" t="s">
        <v>191</v>
      </c>
      <c r="J464" s="2">
        <v>104959</v>
      </c>
      <c r="K464" s="2" t="s">
        <v>208</v>
      </c>
      <c r="L464" s="2" t="s">
        <v>18</v>
      </c>
      <c r="M464" t="str">
        <f t="shared" ref="M464:M469" si="43">I464 &amp; " " &amp; K464</f>
        <v>Félix Prat</v>
      </c>
      <c r="Q464" t="str">
        <f t="shared" si="40"/>
        <v>104959fprat</v>
      </c>
    </row>
    <row r="465" spans="1:17" hidden="1" x14ac:dyDescent="0.4">
      <c r="A465">
        <v>556</v>
      </c>
      <c r="B465" s="2"/>
      <c r="C465" s="4">
        <v>45909</v>
      </c>
      <c r="D465" s="5">
        <v>0.39583333333333331</v>
      </c>
      <c r="E465" s="5">
        <v>0.47916666666666669</v>
      </c>
      <c r="F465" s="2" t="s">
        <v>9</v>
      </c>
      <c r="G465" s="2" t="s">
        <v>10</v>
      </c>
      <c r="H465" s="2" t="s">
        <v>172</v>
      </c>
      <c r="I465" s="2" t="s">
        <v>173</v>
      </c>
      <c r="J465" s="2">
        <v>104959</v>
      </c>
      <c r="K465" s="2" t="s">
        <v>174</v>
      </c>
      <c r="L465" s="2" t="s">
        <v>18</v>
      </c>
      <c r="M465" t="str">
        <f t="shared" si="43"/>
        <v>Étienne Rall</v>
      </c>
      <c r="Q465" t="str">
        <f t="shared" si="40"/>
        <v>104959erall</v>
      </c>
    </row>
    <row r="466" spans="1:17" hidden="1" x14ac:dyDescent="0.4">
      <c r="A466">
        <v>557</v>
      </c>
      <c r="B466" s="2"/>
      <c r="C466" s="4">
        <v>45908</v>
      </c>
      <c r="D466" s="5">
        <v>0.66666666666666663</v>
      </c>
      <c r="E466" s="5">
        <v>0.72916666666666663</v>
      </c>
      <c r="F466" s="2" t="s">
        <v>9</v>
      </c>
      <c r="G466" s="2" t="s">
        <v>10</v>
      </c>
      <c r="H466" s="2" t="s">
        <v>493</v>
      </c>
      <c r="I466" s="2" t="s">
        <v>494</v>
      </c>
      <c r="J466" s="2">
        <v>104855</v>
      </c>
      <c r="K466" s="2" t="s">
        <v>495</v>
      </c>
      <c r="L466" s="2" t="s">
        <v>18</v>
      </c>
      <c r="M466" t="str">
        <f t="shared" si="43"/>
        <v>Rei Harada</v>
      </c>
      <c r="Q466" t="str">
        <f t="shared" si="40"/>
        <v>104855rharada</v>
      </c>
    </row>
    <row r="467" spans="1:17" hidden="1" x14ac:dyDescent="0.4">
      <c r="A467">
        <v>559</v>
      </c>
      <c r="B467" s="2"/>
      <c r="C467" s="4">
        <v>45908</v>
      </c>
      <c r="D467" s="5">
        <v>0.58333333333333337</v>
      </c>
      <c r="E467" s="5">
        <v>0.64583333333333337</v>
      </c>
      <c r="F467" s="2" t="s">
        <v>9</v>
      </c>
      <c r="G467" s="2" t="s">
        <v>10</v>
      </c>
      <c r="H467" s="2" t="s">
        <v>493</v>
      </c>
      <c r="I467" s="2" t="s">
        <v>494</v>
      </c>
      <c r="J467" s="2">
        <v>104551</v>
      </c>
      <c r="K467" s="2" t="s">
        <v>495</v>
      </c>
      <c r="L467" s="2" t="s">
        <v>18</v>
      </c>
      <c r="M467" t="str">
        <f t="shared" si="43"/>
        <v>Rei Harada</v>
      </c>
      <c r="Q467" t="str">
        <f t="shared" si="40"/>
        <v>104551rharada</v>
      </c>
    </row>
    <row r="468" spans="1:17" hidden="1" x14ac:dyDescent="0.4">
      <c r="A468">
        <v>560</v>
      </c>
      <c r="B468" s="2"/>
      <c r="C468" s="4">
        <v>45908</v>
      </c>
      <c r="D468" s="5">
        <v>0.47916666666666669</v>
      </c>
      <c r="E468" s="5">
        <v>0.54166666666666663</v>
      </c>
      <c r="F468" s="2" t="s">
        <v>9</v>
      </c>
      <c r="G468" s="2" t="s">
        <v>10</v>
      </c>
      <c r="H468" s="2" t="s">
        <v>493</v>
      </c>
      <c r="I468" s="2" t="s">
        <v>494</v>
      </c>
      <c r="J468" s="2">
        <v>104550</v>
      </c>
      <c r="K468" s="2" t="s">
        <v>495</v>
      </c>
      <c r="L468" s="2" t="s">
        <v>18</v>
      </c>
      <c r="M468" t="str">
        <f t="shared" si="43"/>
        <v>Rei Harada</v>
      </c>
      <c r="Q468" t="str">
        <f t="shared" si="40"/>
        <v>104550rharada</v>
      </c>
    </row>
    <row r="469" spans="1:17" hidden="1" x14ac:dyDescent="0.4">
      <c r="A469">
        <v>561</v>
      </c>
      <c r="B469" s="2"/>
      <c r="C469" s="4">
        <v>45908</v>
      </c>
      <c r="D469" s="5">
        <v>0.375</v>
      </c>
      <c r="E469" s="5">
        <v>0.4375</v>
      </c>
      <c r="F469" s="2" t="s">
        <v>9</v>
      </c>
      <c r="G469" s="2" t="s">
        <v>10</v>
      </c>
      <c r="H469" s="2" t="s">
        <v>493</v>
      </c>
      <c r="I469" s="2" t="s">
        <v>494</v>
      </c>
      <c r="J469" s="2">
        <v>102916</v>
      </c>
      <c r="K469" s="2" t="s">
        <v>495</v>
      </c>
      <c r="L469" s="2" t="s">
        <v>18</v>
      </c>
      <c r="M469" t="str">
        <f t="shared" si="43"/>
        <v>Rei Harada</v>
      </c>
      <c r="Q469" t="str">
        <f t="shared" si="40"/>
        <v>102916rharada</v>
      </c>
    </row>
    <row r="470" spans="1:17" hidden="1" x14ac:dyDescent="0.4">
      <c r="A470">
        <v>562</v>
      </c>
      <c r="B470" s="2"/>
      <c r="C470" s="4">
        <v>45909</v>
      </c>
      <c r="D470" s="5">
        <v>0.39583333333333331</v>
      </c>
      <c r="E470" s="5">
        <v>0.47916666666666669</v>
      </c>
      <c r="F470" s="2" t="s">
        <v>9</v>
      </c>
      <c r="G470" s="2" t="s">
        <v>10</v>
      </c>
      <c r="H470" s="2" t="s">
        <v>137</v>
      </c>
      <c r="I470" s="2" t="s">
        <v>138</v>
      </c>
      <c r="J470" s="2">
        <v>104959</v>
      </c>
      <c r="K470" s="2" t="s">
        <v>139</v>
      </c>
      <c r="L470" s="2" t="s">
        <v>14</v>
      </c>
      <c r="M470" t="str">
        <f>K470 &amp; " " &amp; I470</f>
        <v>Rashdan Dani</v>
      </c>
      <c r="Q470" t="str">
        <f t="shared" si="40"/>
        <v>104959drashdan</v>
      </c>
    </row>
    <row r="471" spans="1:17" hidden="1" x14ac:dyDescent="0.4">
      <c r="A471">
        <v>563</v>
      </c>
      <c r="B471" s="2"/>
      <c r="C471" s="4">
        <v>45909</v>
      </c>
      <c r="D471" s="5">
        <v>0.39583333333333331</v>
      </c>
      <c r="E471" s="5">
        <v>0.47916666666666669</v>
      </c>
      <c r="F471" s="2" t="s">
        <v>9</v>
      </c>
      <c r="G471" s="2" t="s">
        <v>10</v>
      </c>
      <c r="H471" s="2" t="s">
        <v>85</v>
      </c>
      <c r="I471" s="2" t="s">
        <v>52</v>
      </c>
      <c r="J471" s="2">
        <v>104959</v>
      </c>
      <c r="K471" s="2" t="s">
        <v>86</v>
      </c>
      <c r="L471" s="2" t="s">
        <v>14</v>
      </c>
      <c r="M471" t="str">
        <f>K471 &amp; " " &amp; I471</f>
        <v>Rauline Adrien</v>
      </c>
      <c r="Q471" t="str">
        <f t="shared" si="40"/>
        <v>104959arauline</v>
      </c>
    </row>
    <row r="472" spans="1:17" hidden="1" x14ac:dyDescent="0.4">
      <c r="A472">
        <v>565</v>
      </c>
      <c r="B472" s="2"/>
      <c r="C472" s="4">
        <v>45908</v>
      </c>
      <c r="D472" s="5">
        <v>0.66666666666666663</v>
      </c>
      <c r="E472" s="5">
        <v>0.72916666666666663</v>
      </c>
      <c r="F472" s="2" t="s">
        <v>9</v>
      </c>
      <c r="G472" s="2" t="s">
        <v>10</v>
      </c>
      <c r="H472" s="2" t="s">
        <v>590</v>
      </c>
      <c r="I472" s="2" t="s">
        <v>578</v>
      </c>
      <c r="J472" s="2">
        <v>104855</v>
      </c>
      <c r="K472" s="2" t="s">
        <v>591</v>
      </c>
      <c r="L472" s="2" t="s">
        <v>18</v>
      </c>
      <c r="M472" t="str">
        <f>I472 &amp; " " &amp; K472</f>
        <v>Victor Harnois</v>
      </c>
      <c r="Q472" t="str">
        <f t="shared" si="40"/>
        <v>104855vharnois</v>
      </c>
    </row>
    <row r="473" spans="1:17" hidden="1" x14ac:dyDescent="0.4">
      <c r="A473">
        <v>567</v>
      </c>
      <c r="B473" s="2"/>
      <c r="C473" s="4">
        <v>45908</v>
      </c>
      <c r="D473" s="5">
        <v>0.58333333333333337</v>
      </c>
      <c r="E473" s="5">
        <v>0.64583333333333337</v>
      </c>
      <c r="F473" s="2" t="s">
        <v>9</v>
      </c>
      <c r="G473" s="2" t="s">
        <v>10</v>
      </c>
      <c r="H473" s="2" t="s">
        <v>590</v>
      </c>
      <c r="I473" s="2" t="s">
        <v>578</v>
      </c>
      <c r="J473" s="2">
        <v>104551</v>
      </c>
      <c r="K473" s="2" t="s">
        <v>591</v>
      </c>
      <c r="L473" s="2" t="s">
        <v>18</v>
      </c>
      <c r="M473" t="str">
        <f>I473 &amp; " " &amp; K473</f>
        <v>Victor Harnois</v>
      </c>
      <c r="Q473" t="str">
        <f t="shared" si="40"/>
        <v>104551vharnois</v>
      </c>
    </row>
    <row r="474" spans="1:17" hidden="1" x14ac:dyDescent="0.4">
      <c r="A474">
        <v>568</v>
      </c>
      <c r="B474" s="2"/>
      <c r="C474" s="4">
        <v>45908</v>
      </c>
      <c r="D474" s="5">
        <v>0.47916666666666669</v>
      </c>
      <c r="E474" s="5">
        <v>0.54166666666666663</v>
      </c>
      <c r="F474" s="2" t="s">
        <v>9</v>
      </c>
      <c r="G474" s="2" t="s">
        <v>10</v>
      </c>
      <c r="H474" s="2" t="s">
        <v>590</v>
      </c>
      <c r="I474" s="2" t="s">
        <v>578</v>
      </c>
      <c r="J474" s="2">
        <v>104550</v>
      </c>
      <c r="K474" s="2" t="s">
        <v>591</v>
      </c>
      <c r="L474" s="2" t="s">
        <v>18</v>
      </c>
      <c r="M474" t="str">
        <f>I474 &amp; " " &amp; K474</f>
        <v>Victor Harnois</v>
      </c>
      <c r="Q474" t="str">
        <f t="shared" si="40"/>
        <v>104550vharnois</v>
      </c>
    </row>
    <row r="475" spans="1:17" hidden="1" x14ac:dyDescent="0.4">
      <c r="A475">
        <v>569</v>
      </c>
      <c r="B475" s="2"/>
      <c r="C475" s="4">
        <v>45908</v>
      </c>
      <c r="D475" s="5">
        <v>0.375</v>
      </c>
      <c r="E475" s="5">
        <v>0.4375</v>
      </c>
      <c r="F475" s="2" t="s">
        <v>9</v>
      </c>
      <c r="G475" s="2" t="s">
        <v>10</v>
      </c>
      <c r="H475" s="2" t="s">
        <v>590</v>
      </c>
      <c r="I475" s="2" t="s">
        <v>578</v>
      </c>
      <c r="J475" s="2">
        <v>102916</v>
      </c>
      <c r="K475" s="2" t="s">
        <v>591</v>
      </c>
      <c r="L475" s="2" t="s">
        <v>18</v>
      </c>
      <c r="M475" t="str">
        <f>K475 &amp; " " &amp; I475</f>
        <v>Harnois Victor</v>
      </c>
      <c r="Q475" t="str">
        <f t="shared" si="40"/>
        <v>102916vharnois</v>
      </c>
    </row>
    <row r="476" spans="1:17" hidden="1" x14ac:dyDescent="0.4">
      <c r="A476">
        <v>570</v>
      </c>
      <c r="B476" s="2"/>
      <c r="C476" s="4">
        <v>45909</v>
      </c>
      <c r="D476" s="5">
        <v>0.39583333333333331</v>
      </c>
      <c r="E476" s="5">
        <v>0.47916666666666669</v>
      </c>
      <c r="F476" s="2" t="s">
        <v>9</v>
      </c>
      <c r="G476" s="2" t="s">
        <v>10</v>
      </c>
      <c r="H476" s="2" t="s">
        <v>175</v>
      </c>
      <c r="I476" s="2" t="s">
        <v>176</v>
      </c>
      <c r="J476" s="2">
        <v>104959</v>
      </c>
      <c r="K476" s="2" t="s">
        <v>177</v>
      </c>
      <c r="L476" s="2" t="s">
        <v>18</v>
      </c>
      <c r="M476" t="str">
        <f>I476 &amp; " " &amp; K476</f>
        <v>Emile Rebuschi</v>
      </c>
      <c r="Q476" t="str">
        <f t="shared" si="40"/>
        <v>104959erebuschi</v>
      </c>
    </row>
    <row r="477" spans="1:17" hidden="1" x14ac:dyDescent="0.4">
      <c r="A477">
        <v>571</v>
      </c>
      <c r="B477" s="2"/>
      <c r="C477" s="4">
        <v>45909</v>
      </c>
      <c r="D477" s="5">
        <v>0.39583333333333331</v>
      </c>
      <c r="E477" s="5">
        <v>0.47916666666666669</v>
      </c>
      <c r="F477" s="2" t="s">
        <v>9</v>
      </c>
      <c r="G477" s="2" t="s">
        <v>10</v>
      </c>
      <c r="H477" s="2" t="s">
        <v>459</v>
      </c>
      <c r="I477" s="2" t="s">
        <v>460</v>
      </c>
      <c r="J477" s="2">
        <v>104959</v>
      </c>
      <c r="K477" s="2" t="s">
        <v>461</v>
      </c>
      <c r="L477" s="2" t="s">
        <v>14</v>
      </c>
      <c r="M477" t="str">
        <f>K477 &amp; " " &amp; I477</f>
        <v>Renioult Pierre-Antoine</v>
      </c>
      <c r="Q477" t="str">
        <f t="shared" si="40"/>
        <v>104959parenioult</v>
      </c>
    </row>
    <row r="478" spans="1:17" hidden="1" x14ac:dyDescent="0.4">
      <c r="A478">
        <v>572</v>
      </c>
      <c r="B478" s="2"/>
      <c r="C478" s="4">
        <v>45908</v>
      </c>
      <c r="D478" s="5">
        <v>0.66666666666666663</v>
      </c>
      <c r="E478" s="5">
        <v>0.72916666666666663</v>
      </c>
      <c r="F478" s="2" t="s">
        <v>9</v>
      </c>
      <c r="G478" s="2" t="s">
        <v>10</v>
      </c>
      <c r="H478" s="2" t="s">
        <v>227</v>
      </c>
      <c r="I478" s="2" t="s">
        <v>228</v>
      </c>
      <c r="J478" s="2">
        <v>104855</v>
      </c>
      <c r="K478" s="2" t="s">
        <v>229</v>
      </c>
      <c r="L478" s="2" t="s">
        <v>18</v>
      </c>
      <c r="M478" t="str">
        <f>I478 &amp; " " &amp; K478</f>
        <v>Hugo Hernout</v>
      </c>
      <c r="Q478" t="str">
        <f t="shared" si="40"/>
        <v>104855hhernout</v>
      </c>
    </row>
    <row r="479" spans="1:17" hidden="1" x14ac:dyDescent="0.4">
      <c r="A479">
        <v>574</v>
      </c>
      <c r="B479" s="2"/>
      <c r="C479" s="4">
        <v>45908</v>
      </c>
      <c r="D479" s="5">
        <v>0.58333333333333337</v>
      </c>
      <c r="E479" s="5">
        <v>0.64583333333333337</v>
      </c>
      <c r="F479" s="2" t="s">
        <v>9</v>
      </c>
      <c r="G479" s="2" t="s">
        <v>10</v>
      </c>
      <c r="H479" s="2" t="s">
        <v>227</v>
      </c>
      <c r="I479" s="2" t="s">
        <v>228</v>
      </c>
      <c r="J479" s="2">
        <v>104551</v>
      </c>
      <c r="K479" s="2" t="s">
        <v>229</v>
      </c>
      <c r="L479" s="2" t="s">
        <v>18</v>
      </c>
      <c r="M479" t="str">
        <f>I479 &amp; " " &amp; K479</f>
        <v>Hugo Hernout</v>
      </c>
      <c r="Q479" t="str">
        <f t="shared" si="40"/>
        <v>104551hhernout</v>
      </c>
    </row>
    <row r="480" spans="1:17" hidden="1" x14ac:dyDescent="0.4">
      <c r="A480">
        <v>575</v>
      </c>
      <c r="B480" s="2"/>
      <c r="C480" s="4">
        <v>45908</v>
      </c>
      <c r="D480" s="5">
        <v>0.47916666666666669</v>
      </c>
      <c r="E480" s="5">
        <v>0.54166666666666663</v>
      </c>
      <c r="F480" s="2" t="s">
        <v>9</v>
      </c>
      <c r="G480" s="2" t="s">
        <v>10</v>
      </c>
      <c r="H480" s="2" t="s">
        <v>227</v>
      </c>
      <c r="I480" s="2" t="s">
        <v>228</v>
      </c>
      <c r="J480" s="2">
        <v>104550</v>
      </c>
      <c r="K480" s="2" t="s">
        <v>229</v>
      </c>
      <c r="L480" s="2" t="s">
        <v>18</v>
      </c>
      <c r="M480" t="str">
        <f>I480 &amp; " " &amp; K480</f>
        <v>Hugo Hernout</v>
      </c>
      <c r="Q480" t="str">
        <f t="shared" si="40"/>
        <v>104550hhernout</v>
      </c>
    </row>
    <row r="481" spans="1:17" hidden="1" x14ac:dyDescent="0.4">
      <c r="A481">
        <v>576</v>
      </c>
      <c r="B481" s="2"/>
      <c r="C481" s="4">
        <v>45908</v>
      </c>
      <c r="D481" s="5">
        <v>0.375</v>
      </c>
      <c r="E481" s="5">
        <v>0.4375</v>
      </c>
      <c r="F481" s="2" t="s">
        <v>9</v>
      </c>
      <c r="G481" s="2" t="s">
        <v>10</v>
      </c>
      <c r="H481" s="2" t="s">
        <v>227</v>
      </c>
      <c r="I481" s="2" t="s">
        <v>228</v>
      </c>
      <c r="J481" s="2">
        <v>102916</v>
      </c>
      <c r="K481" s="2" t="s">
        <v>229</v>
      </c>
      <c r="L481" s="2" t="s">
        <v>18</v>
      </c>
      <c r="M481" t="str">
        <f>K481 &amp; " " &amp; I481</f>
        <v>Hernout Hugo</v>
      </c>
      <c r="Q481" t="str">
        <f t="shared" si="40"/>
        <v>102916hhernout</v>
      </c>
    </row>
    <row r="482" spans="1:17" hidden="1" x14ac:dyDescent="0.4">
      <c r="A482">
        <v>577</v>
      </c>
      <c r="B482" s="2"/>
      <c r="C482" s="4">
        <v>45909</v>
      </c>
      <c r="D482" s="5">
        <v>0.39583333333333331</v>
      </c>
      <c r="E482" s="5">
        <v>0.47916666666666669</v>
      </c>
      <c r="F482" s="2" t="s">
        <v>9</v>
      </c>
      <c r="G482" s="2" t="s">
        <v>10</v>
      </c>
      <c r="H482" s="2" t="s">
        <v>178</v>
      </c>
      <c r="I482" s="2" t="s">
        <v>179</v>
      </c>
      <c r="J482" s="2">
        <v>104959</v>
      </c>
      <c r="K482" s="2" t="s">
        <v>180</v>
      </c>
      <c r="L482" s="2" t="s">
        <v>18</v>
      </c>
      <c r="M482" t="str">
        <f>K482 &amp; " " &amp; I482</f>
        <v>Ricard Émile</v>
      </c>
      <c r="Q482" t="str">
        <f t="shared" si="40"/>
        <v>104959ericard</v>
      </c>
    </row>
    <row r="483" spans="1:17" hidden="1" x14ac:dyDescent="0.4">
      <c r="A483">
        <v>578</v>
      </c>
      <c r="B483" s="2"/>
      <c r="C483" s="4">
        <v>45909</v>
      </c>
      <c r="D483" s="5">
        <v>0.39583333333333331</v>
      </c>
      <c r="E483" s="5">
        <v>0.47916666666666669</v>
      </c>
      <c r="F483" s="2" t="s">
        <v>9</v>
      </c>
      <c r="G483" s="2" t="s">
        <v>10</v>
      </c>
      <c r="H483" s="2" t="s">
        <v>479</v>
      </c>
      <c r="I483" s="2" t="s">
        <v>480</v>
      </c>
      <c r="J483" s="2">
        <v>104959</v>
      </c>
      <c r="K483" s="2" t="s">
        <v>481</v>
      </c>
      <c r="L483" s="2" t="s">
        <v>18</v>
      </c>
      <c r="M483" t="str">
        <f>I483 &amp; " " &amp; K483</f>
        <v>Pauline Robilliard</v>
      </c>
      <c r="Q483" t="str">
        <f t="shared" ref="Q483:Q536" si="44">J483&amp;H483</f>
        <v>104959probilliard</v>
      </c>
    </row>
    <row r="484" spans="1:17" hidden="1" x14ac:dyDescent="0.4">
      <c r="A484">
        <v>579</v>
      </c>
      <c r="B484" s="2"/>
      <c r="C484" s="4">
        <v>45908</v>
      </c>
      <c r="D484" s="5">
        <v>0.66666666666666663</v>
      </c>
      <c r="E484" s="5">
        <v>0.72916666666666663</v>
      </c>
      <c r="F484" s="2" t="s">
        <v>9</v>
      </c>
      <c r="G484" s="2" t="s">
        <v>10</v>
      </c>
      <c r="H484" s="2" t="s">
        <v>157</v>
      </c>
      <c r="I484" s="2" t="s">
        <v>158</v>
      </c>
      <c r="J484" s="2">
        <v>104855</v>
      </c>
      <c r="K484" s="2" t="s">
        <v>159</v>
      </c>
      <c r="L484" s="2" t="s">
        <v>18</v>
      </c>
      <c r="M484" t="str">
        <f>I484 &amp; " " &amp; K484</f>
        <v>Éléa Hetzel</v>
      </c>
      <c r="Q484" t="str">
        <f t="shared" si="44"/>
        <v>104855ehetzel</v>
      </c>
    </row>
    <row r="485" spans="1:17" hidden="1" x14ac:dyDescent="0.4">
      <c r="A485">
        <v>581</v>
      </c>
      <c r="B485" s="2"/>
      <c r="C485" s="4">
        <v>45908</v>
      </c>
      <c r="D485" s="5">
        <v>0.58333333333333337</v>
      </c>
      <c r="E485" s="5">
        <v>0.64583333333333337</v>
      </c>
      <c r="F485" s="2" t="s">
        <v>9</v>
      </c>
      <c r="G485" s="2" t="s">
        <v>10</v>
      </c>
      <c r="H485" s="2" t="s">
        <v>157</v>
      </c>
      <c r="I485" s="2" t="s">
        <v>158</v>
      </c>
      <c r="J485" s="2">
        <v>104551</v>
      </c>
      <c r="K485" s="2" t="s">
        <v>159</v>
      </c>
      <c r="L485" s="2" t="s">
        <v>18</v>
      </c>
      <c r="M485" t="str">
        <f>I485 &amp; " " &amp; K485</f>
        <v>Éléa Hetzel</v>
      </c>
      <c r="Q485" t="str">
        <f t="shared" si="44"/>
        <v>104551ehetzel</v>
      </c>
    </row>
    <row r="486" spans="1:17" hidden="1" x14ac:dyDescent="0.4">
      <c r="A486">
        <v>582</v>
      </c>
      <c r="B486" s="2"/>
      <c r="C486" s="4">
        <v>45908</v>
      </c>
      <c r="D486" s="5">
        <v>0.47916666666666669</v>
      </c>
      <c r="E486" s="5">
        <v>0.54166666666666663</v>
      </c>
      <c r="F486" s="2" t="s">
        <v>9</v>
      </c>
      <c r="G486" s="2" t="s">
        <v>10</v>
      </c>
      <c r="H486" s="2" t="s">
        <v>157</v>
      </c>
      <c r="I486" s="2" t="s">
        <v>158</v>
      </c>
      <c r="J486" s="2">
        <v>104550</v>
      </c>
      <c r="K486" s="2" t="s">
        <v>159</v>
      </c>
      <c r="L486" s="2" t="s">
        <v>18</v>
      </c>
      <c r="M486" t="str">
        <f>I486 &amp; " " &amp; K486</f>
        <v>Éléa Hetzel</v>
      </c>
      <c r="Q486" t="str">
        <f t="shared" si="44"/>
        <v>104550ehetzel</v>
      </c>
    </row>
    <row r="487" spans="1:17" hidden="1" x14ac:dyDescent="0.4">
      <c r="A487">
        <v>583</v>
      </c>
      <c r="B487" s="2"/>
      <c r="C487" s="4">
        <v>45908</v>
      </c>
      <c r="D487" s="5">
        <v>0.375</v>
      </c>
      <c r="E487" s="5">
        <v>0.4375</v>
      </c>
      <c r="F487" s="2" t="s">
        <v>9</v>
      </c>
      <c r="G487" s="2" t="s">
        <v>10</v>
      </c>
      <c r="H487" s="2" t="s">
        <v>157</v>
      </c>
      <c r="I487" s="2" t="s">
        <v>158</v>
      </c>
      <c r="J487" s="2">
        <v>102916</v>
      </c>
      <c r="K487" s="2" t="s">
        <v>159</v>
      </c>
      <c r="L487" s="2" t="s">
        <v>18</v>
      </c>
      <c r="M487" t="str">
        <f>I487 &amp; " " &amp; K487</f>
        <v>Éléa Hetzel</v>
      </c>
      <c r="Q487" t="str">
        <f t="shared" si="44"/>
        <v>102916ehetzel</v>
      </c>
    </row>
    <row r="488" spans="1:17" hidden="1" x14ac:dyDescent="0.4">
      <c r="A488">
        <v>584</v>
      </c>
      <c r="B488" s="2"/>
      <c r="C488" s="4">
        <v>45909</v>
      </c>
      <c r="D488" s="5">
        <v>0.39583333333333331</v>
      </c>
      <c r="E488" s="5">
        <v>0.47916666666666669</v>
      </c>
      <c r="F488" s="2" t="s">
        <v>9</v>
      </c>
      <c r="G488" s="2" t="s">
        <v>10</v>
      </c>
      <c r="H488" s="2" t="s">
        <v>181</v>
      </c>
      <c r="I488" s="2" t="s">
        <v>182</v>
      </c>
      <c r="J488" s="2">
        <v>104959</v>
      </c>
      <c r="K488" s="2" t="s">
        <v>183</v>
      </c>
      <c r="L488" s="2" t="s">
        <v>14</v>
      </c>
      <c r="M488" t="str">
        <f>K488 &amp; " " &amp; I488</f>
        <v>Rodrigues Estellie</v>
      </c>
      <c r="Q488" t="str">
        <f t="shared" si="44"/>
        <v>104959erodrigues</v>
      </c>
    </row>
    <row r="489" spans="1:17" hidden="1" x14ac:dyDescent="0.4">
      <c r="A489">
        <v>585</v>
      </c>
      <c r="B489" s="2"/>
      <c r="C489" s="4">
        <v>45909</v>
      </c>
      <c r="D489" s="5">
        <v>0.39583333333333331</v>
      </c>
      <c r="E489" s="5">
        <v>0.47916666666666669</v>
      </c>
      <c r="F489" s="2" t="s">
        <v>9</v>
      </c>
      <c r="G489" s="2" t="s">
        <v>10</v>
      </c>
      <c r="H489" s="2" t="s">
        <v>444</v>
      </c>
      <c r="I489" s="2" t="s">
        <v>445</v>
      </c>
      <c r="J489" s="2">
        <v>104959</v>
      </c>
      <c r="K489" s="2" t="s">
        <v>446</v>
      </c>
      <c r="L489" s="2" t="s">
        <v>18</v>
      </c>
      <c r="M489" t="str">
        <f>I489 &amp; " " &amp; K489</f>
        <v>Nino Rossini--Defrançois</v>
      </c>
      <c r="Q489" t="str">
        <f t="shared" si="44"/>
        <v>104959nrossinidefrancois</v>
      </c>
    </row>
    <row r="490" spans="1:17" hidden="1" x14ac:dyDescent="0.4">
      <c r="A490">
        <v>586</v>
      </c>
      <c r="B490" s="2"/>
      <c r="C490" s="4">
        <v>45908</v>
      </c>
      <c r="D490" s="5">
        <v>0.66666666666666663</v>
      </c>
      <c r="E490" s="5">
        <v>0.72916666666666663</v>
      </c>
      <c r="F490" s="2" t="s">
        <v>9</v>
      </c>
      <c r="G490" s="2" t="s">
        <v>10</v>
      </c>
      <c r="H490" s="2" t="s">
        <v>284</v>
      </c>
      <c r="I490" s="2" t="s">
        <v>285</v>
      </c>
      <c r="J490" s="2">
        <v>104855</v>
      </c>
      <c r="K490" s="2" t="s">
        <v>286</v>
      </c>
      <c r="L490" s="2" t="s">
        <v>18</v>
      </c>
      <c r="M490" t="str">
        <f>K490 &amp; " " &amp; I490</f>
        <v>Huang Jiayue</v>
      </c>
      <c r="Q490" t="str">
        <f t="shared" si="44"/>
        <v>104855jhuang1</v>
      </c>
    </row>
    <row r="491" spans="1:17" hidden="1" x14ac:dyDescent="0.4">
      <c r="A491">
        <v>588</v>
      </c>
      <c r="B491" s="2"/>
      <c r="C491" s="4">
        <v>45908</v>
      </c>
      <c r="D491" s="5">
        <v>0.58333333333333337</v>
      </c>
      <c r="E491" s="5">
        <v>0.64583333333333337</v>
      </c>
      <c r="F491" s="2" t="s">
        <v>9</v>
      </c>
      <c r="G491" s="2" t="s">
        <v>10</v>
      </c>
      <c r="H491" s="2" t="s">
        <v>284</v>
      </c>
      <c r="I491" s="2" t="s">
        <v>285</v>
      </c>
      <c r="J491" s="2">
        <v>104551</v>
      </c>
      <c r="K491" s="2" t="s">
        <v>286</v>
      </c>
      <c r="L491" s="2" t="s">
        <v>18</v>
      </c>
      <c r="M491" t="str">
        <f>K491 &amp; " " &amp; I491</f>
        <v>Huang Jiayue</v>
      </c>
      <c r="Q491" t="str">
        <f t="shared" si="44"/>
        <v>104551jhuang1</v>
      </c>
    </row>
    <row r="492" spans="1:17" hidden="1" x14ac:dyDescent="0.4">
      <c r="A492">
        <v>589</v>
      </c>
      <c r="B492" s="2"/>
      <c r="C492" s="4">
        <v>45908</v>
      </c>
      <c r="D492" s="5">
        <v>0.47916666666666669</v>
      </c>
      <c r="E492" s="5">
        <v>0.54166666666666663</v>
      </c>
      <c r="F492" s="2" t="s">
        <v>9</v>
      </c>
      <c r="G492" s="2" t="s">
        <v>10</v>
      </c>
      <c r="H492" s="2" t="s">
        <v>284</v>
      </c>
      <c r="I492" s="2" t="s">
        <v>285</v>
      </c>
      <c r="J492" s="2">
        <v>104550</v>
      </c>
      <c r="K492" s="2" t="s">
        <v>286</v>
      </c>
      <c r="L492" s="2" t="s">
        <v>18</v>
      </c>
      <c r="M492" t="str">
        <f>K492 &amp; " " &amp; I492</f>
        <v>Huang Jiayue</v>
      </c>
      <c r="Q492" t="str">
        <f t="shared" si="44"/>
        <v>104550jhuang1</v>
      </c>
    </row>
    <row r="493" spans="1:17" hidden="1" x14ac:dyDescent="0.4">
      <c r="A493">
        <v>590</v>
      </c>
      <c r="B493" s="2"/>
      <c r="C493" s="4">
        <v>45908</v>
      </c>
      <c r="D493" s="5">
        <v>0.375</v>
      </c>
      <c r="E493" s="5">
        <v>0.4375</v>
      </c>
      <c r="F493" s="2" t="s">
        <v>9</v>
      </c>
      <c r="G493" s="2" t="s">
        <v>10</v>
      </c>
      <c r="H493" s="2" t="s">
        <v>284</v>
      </c>
      <c r="I493" s="2" t="s">
        <v>285</v>
      </c>
      <c r="J493" s="2">
        <v>102916</v>
      </c>
      <c r="K493" s="2" t="s">
        <v>286</v>
      </c>
      <c r="L493" s="2" t="s">
        <v>18</v>
      </c>
      <c r="M493" t="str">
        <f>K493 &amp; " " &amp; I493</f>
        <v>Huang Jiayue</v>
      </c>
      <c r="Q493" t="str">
        <f t="shared" si="44"/>
        <v>102916jhuang1</v>
      </c>
    </row>
    <row r="494" spans="1:17" hidden="1" x14ac:dyDescent="0.4">
      <c r="A494">
        <v>591</v>
      </c>
      <c r="B494" s="2"/>
      <c r="C494" s="4">
        <v>45909</v>
      </c>
      <c r="D494" s="5">
        <v>0.39583333333333331</v>
      </c>
      <c r="E494" s="5">
        <v>0.47916666666666669</v>
      </c>
      <c r="F494" s="2" t="s">
        <v>9</v>
      </c>
      <c r="G494" s="2" t="s">
        <v>10</v>
      </c>
      <c r="H494" s="2" t="s">
        <v>107</v>
      </c>
      <c r="I494" s="2" t="s">
        <v>108</v>
      </c>
      <c r="J494" s="2">
        <v>104959</v>
      </c>
      <c r="K494" s="2" t="s">
        <v>109</v>
      </c>
      <c r="L494" s="2" t="s">
        <v>18</v>
      </c>
      <c r="M494" t="str">
        <f>I494 &amp; " " &amp; K494</f>
        <v>Cyrielle Roszak</v>
      </c>
      <c r="Q494" t="str">
        <f t="shared" si="44"/>
        <v>104959croszak</v>
      </c>
    </row>
    <row r="495" spans="1:17" hidden="1" x14ac:dyDescent="0.4">
      <c r="A495">
        <v>592</v>
      </c>
      <c r="B495" s="2"/>
      <c r="C495" s="4">
        <v>45909</v>
      </c>
      <c r="D495" s="5">
        <v>0.39583333333333331</v>
      </c>
      <c r="E495" s="5">
        <v>0.47916666666666669</v>
      </c>
      <c r="F495" s="2" t="s">
        <v>9</v>
      </c>
      <c r="G495" s="2" t="s">
        <v>10</v>
      </c>
      <c r="H495" s="2" t="s">
        <v>110</v>
      </c>
      <c r="I495" s="2" t="s">
        <v>111</v>
      </c>
      <c r="J495" s="2">
        <v>104959</v>
      </c>
      <c r="K495" s="2" t="s">
        <v>112</v>
      </c>
      <c r="L495" s="2" t="s">
        <v>14</v>
      </c>
      <c r="M495" t="str">
        <f>K495 &amp; " " &amp; I495</f>
        <v>Rouge Chloë</v>
      </c>
      <c r="Q495" t="str">
        <f t="shared" si="44"/>
        <v>104959crouge</v>
      </c>
    </row>
    <row r="496" spans="1:17" hidden="1" x14ac:dyDescent="0.4">
      <c r="A496">
        <v>593</v>
      </c>
      <c r="B496" s="2"/>
      <c r="C496" s="4">
        <v>45908</v>
      </c>
      <c r="D496" s="5">
        <v>0.66666666666666663</v>
      </c>
      <c r="E496" s="5">
        <v>0.72916666666666663</v>
      </c>
      <c r="F496" s="2" t="s">
        <v>9</v>
      </c>
      <c r="G496" s="2" t="s">
        <v>10</v>
      </c>
      <c r="H496" s="2" t="s">
        <v>54</v>
      </c>
      <c r="I496" s="2" t="s">
        <v>55</v>
      </c>
      <c r="J496" s="2">
        <v>104855</v>
      </c>
      <c r="K496" s="2" t="s">
        <v>56</v>
      </c>
      <c r="L496" s="2" t="s">
        <v>18</v>
      </c>
      <c r="M496" t="str">
        <f>I496 &amp; " " &amp; K496</f>
        <v>Alonso Huerta</v>
      </c>
      <c r="Q496" t="str">
        <f t="shared" si="44"/>
        <v>104855ahuerta</v>
      </c>
    </row>
    <row r="497" spans="1:17" hidden="1" x14ac:dyDescent="0.4">
      <c r="A497">
        <v>595</v>
      </c>
      <c r="B497" s="2"/>
      <c r="C497" s="4">
        <v>45908</v>
      </c>
      <c r="D497" s="5">
        <v>0.58333333333333337</v>
      </c>
      <c r="E497" s="5">
        <v>0.64583333333333337</v>
      </c>
      <c r="F497" s="2" t="s">
        <v>9</v>
      </c>
      <c r="G497" s="2" t="s">
        <v>10</v>
      </c>
      <c r="H497" s="2" t="s">
        <v>54</v>
      </c>
      <c r="I497" s="2" t="s">
        <v>55</v>
      </c>
      <c r="J497" s="2">
        <v>104551</v>
      </c>
      <c r="K497" s="2" t="s">
        <v>56</v>
      </c>
      <c r="L497" s="2" t="s">
        <v>18</v>
      </c>
      <c r="M497" t="str">
        <f>I497 &amp; " " &amp; K497</f>
        <v>Alonso Huerta</v>
      </c>
      <c r="Q497" t="str">
        <f t="shared" si="44"/>
        <v>104551ahuerta</v>
      </c>
    </row>
    <row r="498" spans="1:17" hidden="1" x14ac:dyDescent="0.4">
      <c r="A498">
        <v>596</v>
      </c>
      <c r="B498" s="2"/>
      <c r="C498" s="4">
        <v>45908</v>
      </c>
      <c r="D498" s="5">
        <v>0.47916666666666669</v>
      </c>
      <c r="E498" s="5">
        <v>0.54166666666666663</v>
      </c>
      <c r="F498" s="2" t="s">
        <v>9</v>
      </c>
      <c r="G498" s="2" t="s">
        <v>10</v>
      </c>
      <c r="H498" s="2" t="s">
        <v>54</v>
      </c>
      <c r="I498" s="2" t="s">
        <v>55</v>
      </c>
      <c r="J498" s="2">
        <v>104550</v>
      </c>
      <c r="K498" s="2" t="s">
        <v>56</v>
      </c>
      <c r="L498" s="2" t="s">
        <v>18</v>
      </c>
      <c r="M498" t="str">
        <f>I498 &amp; " " &amp; K498</f>
        <v>Alonso Huerta</v>
      </c>
      <c r="Q498" t="str">
        <f t="shared" si="44"/>
        <v>104550ahuerta</v>
      </c>
    </row>
    <row r="499" spans="1:17" hidden="1" x14ac:dyDescent="0.4">
      <c r="A499">
        <v>597</v>
      </c>
      <c r="B499" s="2"/>
      <c r="C499" s="4">
        <v>45908</v>
      </c>
      <c r="D499" s="5">
        <v>0.375</v>
      </c>
      <c r="E499" s="5">
        <v>0.4375</v>
      </c>
      <c r="F499" s="2" t="s">
        <v>9</v>
      </c>
      <c r="G499" s="2" t="s">
        <v>10</v>
      </c>
      <c r="H499" s="2" t="s">
        <v>54</v>
      </c>
      <c r="I499" s="2" t="s">
        <v>55</v>
      </c>
      <c r="J499" s="2">
        <v>102916</v>
      </c>
      <c r="K499" s="2" t="s">
        <v>56</v>
      </c>
      <c r="L499" s="2" t="s">
        <v>18</v>
      </c>
      <c r="M499" t="str">
        <f>I499 &amp; " " &amp; K499</f>
        <v>Alonso Huerta</v>
      </c>
      <c r="Q499" t="str">
        <f t="shared" si="44"/>
        <v>102916ahuerta</v>
      </c>
    </row>
    <row r="500" spans="1:17" hidden="1" x14ac:dyDescent="0.4">
      <c r="A500">
        <v>598</v>
      </c>
      <c r="B500" s="2"/>
      <c r="C500" s="4">
        <v>45909</v>
      </c>
      <c r="D500" s="5">
        <v>0.39583333333333331</v>
      </c>
      <c r="E500" s="5">
        <v>0.47916666666666669</v>
      </c>
      <c r="F500" s="2" t="s">
        <v>9</v>
      </c>
      <c r="G500" s="2" t="s">
        <v>10</v>
      </c>
      <c r="H500" s="2" t="s">
        <v>542</v>
      </c>
      <c r="I500" s="2" t="s">
        <v>543</v>
      </c>
      <c r="J500" s="2">
        <v>104959</v>
      </c>
      <c r="K500" s="2" t="s">
        <v>544</v>
      </c>
      <c r="L500" s="2" t="s">
        <v>14</v>
      </c>
      <c r="M500" t="str">
        <f t="shared" ref="M500:M510" si="45">K500 &amp; " " &amp; I500</f>
        <v>Roulette Soni-Sesto</v>
      </c>
      <c r="Q500" t="str">
        <f t="shared" si="44"/>
        <v>104959ssroulette</v>
      </c>
    </row>
    <row r="501" spans="1:17" hidden="1" x14ac:dyDescent="0.4">
      <c r="A501">
        <v>599</v>
      </c>
      <c r="B501" s="2"/>
      <c r="C501" s="4">
        <v>45909</v>
      </c>
      <c r="D501" s="5">
        <v>0.39583333333333331</v>
      </c>
      <c r="E501" s="5">
        <v>0.47916666666666669</v>
      </c>
      <c r="F501" s="2" t="s">
        <v>9</v>
      </c>
      <c r="G501" s="2" t="s">
        <v>10</v>
      </c>
      <c r="H501" s="2" t="s">
        <v>394</v>
      </c>
      <c r="I501" s="2" t="s">
        <v>395</v>
      </c>
      <c r="J501" s="2">
        <v>104959</v>
      </c>
      <c r="K501" s="2" t="s">
        <v>396</v>
      </c>
      <c r="L501" s="2" t="s">
        <v>14</v>
      </c>
      <c r="M501" t="str">
        <f t="shared" si="45"/>
        <v>Roumégas Marie</v>
      </c>
      <c r="Q501" t="str">
        <f t="shared" si="44"/>
        <v>104959mroumegas</v>
      </c>
    </row>
    <row r="502" spans="1:17" hidden="1" x14ac:dyDescent="0.4">
      <c r="A502">
        <v>601</v>
      </c>
      <c r="B502" s="2"/>
      <c r="C502" s="4">
        <v>45908</v>
      </c>
      <c r="D502" s="5">
        <v>0.58333333333333337</v>
      </c>
      <c r="E502" s="5">
        <v>0.64583333333333337</v>
      </c>
      <c r="F502" s="2" t="s">
        <v>9</v>
      </c>
      <c r="G502" s="2" t="s">
        <v>10</v>
      </c>
      <c r="H502" s="2" t="s">
        <v>230</v>
      </c>
      <c r="I502" s="2" t="s">
        <v>228</v>
      </c>
      <c r="J502" s="2">
        <v>104551</v>
      </c>
      <c r="K502" s="2" t="s">
        <v>231</v>
      </c>
      <c r="L502" s="2" t="s">
        <v>18</v>
      </c>
      <c r="M502" t="str">
        <f t="shared" si="45"/>
        <v>Jarry Hugo</v>
      </c>
      <c r="Q502" t="str">
        <f t="shared" si="44"/>
        <v>104551hjarry</v>
      </c>
    </row>
    <row r="503" spans="1:17" hidden="1" x14ac:dyDescent="0.4">
      <c r="A503">
        <v>602</v>
      </c>
      <c r="B503" s="2"/>
      <c r="C503" s="4">
        <v>45908</v>
      </c>
      <c r="D503" s="5">
        <v>0.47916666666666669</v>
      </c>
      <c r="E503" s="5">
        <v>0.54166666666666663</v>
      </c>
      <c r="F503" s="2" t="s">
        <v>9</v>
      </c>
      <c r="G503" s="2" t="s">
        <v>10</v>
      </c>
      <c r="H503" s="2" t="s">
        <v>230</v>
      </c>
      <c r="I503" s="2" t="s">
        <v>228</v>
      </c>
      <c r="J503" s="2">
        <v>104550</v>
      </c>
      <c r="K503" s="2" t="s">
        <v>231</v>
      </c>
      <c r="L503" s="2" t="s">
        <v>18</v>
      </c>
      <c r="M503" t="str">
        <f t="shared" si="45"/>
        <v>Jarry Hugo</v>
      </c>
      <c r="Q503" t="str">
        <f t="shared" si="44"/>
        <v>104550hjarry</v>
      </c>
    </row>
    <row r="504" spans="1:17" hidden="1" x14ac:dyDescent="0.4">
      <c r="A504">
        <v>603</v>
      </c>
      <c r="B504" s="2"/>
      <c r="C504" s="4">
        <v>45908</v>
      </c>
      <c r="D504" s="5">
        <v>0.375</v>
      </c>
      <c r="E504" s="5">
        <v>0.4375</v>
      </c>
      <c r="F504" s="2" t="s">
        <v>9</v>
      </c>
      <c r="G504" s="2" t="s">
        <v>10</v>
      </c>
      <c r="H504" s="2" t="s">
        <v>230</v>
      </c>
      <c r="I504" s="2" t="s">
        <v>228</v>
      </c>
      <c r="J504" s="2">
        <v>102916</v>
      </c>
      <c r="K504" s="2" t="s">
        <v>231</v>
      </c>
      <c r="L504" s="2" t="s">
        <v>14</v>
      </c>
      <c r="M504" t="str">
        <f t="shared" si="45"/>
        <v>Jarry Hugo</v>
      </c>
      <c r="Q504" t="str">
        <f t="shared" si="44"/>
        <v>102916hjarry</v>
      </c>
    </row>
    <row r="505" spans="1:17" hidden="1" x14ac:dyDescent="0.4">
      <c r="A505">
        <v>604</v>
      </c>
      <c r="B505" s="2"/>
      <c r="C505" s="4">
        <v>45909</v>
      </c>
      <c r="D505" s="5">
        <v>0.39583333333333331</v>
      </c>
      <c r="E505" s="5">
        <v>0.47916666666666669</v>
      </c>
      <c r="F505" s="2" t="s">
        <v>9</v>
      </c>
      <c r="G505" s="2" t="s">
        <v>10</v>
      </c>
      <c r="H505" s="2" t="s">
        <v>113</v>
      </c>
      <c r="I505" s="2" t="s">
        <v>114</v>
      </c>
      <c r="J505" s="2">
        <v>104959</v>
      </c>
      <c r="K505" s="2" t="s">
        <v>115</v>
      </c>
      <c r="L505" s="2" t="s">
        <v>14</v>
      </c>
      <c r="M505" t="str">
        <f t="shared" si="45"/>
        <v>Roussev Chloé</v>
      </c>
      <c r="Q505" t="str">
        <f t="shared" si="44"/>
        <v>104959croussev</v>
      </c>
    </row>
    <row r="506" spans="1:17" hidden="1" x14ac:dyDescent="0.4">
      <c r="A506">
        <v>605</v>
      </c>
      <c r="B506" s="2"/>
      <c r="C506" s="4">
        <v>45909</v>
      </c>
      <c r="D506" s="5">
        <v>0.39583333333333331</v>
      </c>
      <c r="E506" s="5">
        <v>0.47916666666666669</v>
      </c>
      <c r="F506" s="2" t="s">
        <v>9</v>
      </c>
      <c r="G506" s="2" t="s">
        <v>10</v>
      </c>
      <c r="H506" s="2" t="s">
        <v>447</v>
      </c>
      <c r="I506" s="2" t="s">
        <v>448</v>
      </c>
      <c r="J506" s="2">
        <v>104959</v>
      </c>
      <c r="K506" s="2" t="s">
        <v>449</v>
      </c>
      <c r="L506" s="2" t="s">
        <v>18</v>
      </c>
      <c r="M506" t="str">
        <f t="shared" si="45"/>
        <v>Royer Noé</v>
      </c>
      <c r="Q506" t="str">
        <f t="shared" si="44"/>
        <v>104959nroyer</v>
      </c>
    </row>
    <row r="507" spans="1:17" hidden="1" x14ac:dyDescent="0.4">
      <c r="A507">
        <v>607</v>
      </c>
      <c r="B507" s="2"/>
      <c r="C507" s="4">
        <v>45908</v>
      </c>
      <c r="D507" s="5">
        <v>0.58333333333333337</v>
      </c>
      <c r="E507" s="5">
        <v>0.64583333333333337</v>
      </c>
      <c r="F507" s="2" t="s">
        <v>9</v>
      </c>
      <c r="G507" s="2" t="s">
        <v>10</v>
      </c>
      <c r="H507" s="2" t="s">
        <v>160</v>
      </c>
      <c r="I507" s="2" t="s">
        <v>161</v>
      </c>
      <c r="J507" s="2">
        <v>104551</v>
      </c>
      <c r="K507" s="2" t="s">
        <v>162</v>
      </c>
      <c r="L507" s="2" t="s">
        <v>14</v>
      </c>
      <c r="M507" t="str">
        <f t="shared" si="45"/>
        <v>Jaume Masferrer Enric</v>
      </c>
      <c r="Q507" t="str">
        <f t="shared" si="44"/>
        <v>104551ejaumemasferrer</v>
      </c>
    </row>
    <row r="508" spans="1:17" hidden="1" x14ac:dyDescent="0.4">
      <c r="A508">
        <v>608</v>
      </c>
      <c r="B508" s="2"/>
      <c r="C508" s="4">
        <v>45908</v>
      </c>
      <c r="D508" s="5">
        <v>0.47916666666666669</v>
      </c>
      <c r="E508" s="5">
        <v>0.54166666666666663</v>
      </c>
      <c r="F508" s="2" t="s">
        <v>9</v>
      </c>
      <c r="G508" s="2" t="s">
        <v>10</v>
      </c>
      <c r="H508" s="2" t="s">
        <v>160</v>
      </c>
      <c r="I508" s="2" t="s">
        <v>161</v>
      </c>
      <c r="J508" s="2">
        <v>104550</v>
      </c>
      <c r="K508" s="2" t="s">
        <v>162</v>
      </c>
      <c r="L508" s="2" t="s">
        <v>14</v>
      </c>
      <c r="M508" t="str">
        <f t="shared" si="45"/>
        <v>Jaume Masferrer Enric</v>
      </c>
      <c r="Q508" t="str">
        <f t="shared" si="44"/>
        <v>104550ejaumemasferrer</v>
      </c>
    </row>
    <row r="509" spans="1:17" hidden="1" x14ac:dyDescent="0.4">
      <c r="A509">
        <v>609</v>
      </c>
      <c r="B509" s="2"/>
      <c r="C509" s="4">
        <v>45908</v>
      </c>
      <c r="D509" s="5">
        <v>0.375</v>
      </c>
      <c r="E509" s="5">
        <v>0.4375</v>
      </c>
      <c r="F509" s="2" t="s">
        <v>9</v>
      </c>
      <c r="G509" s="2" t="s">
        <v>10</v>
      </c>
      <c r="H509" s="2" t="s">
        <v>160</v>
      </c>
      <c r="I509" s="2" t="s">
        <v>161</v>
      </c>
      <c r="J509" s="2">
        <v>102916</v>
      </c>
      <c r="K509" s="2" t="s">
        <v>162</v>
      </c>
      <c r="L509" s="2" t="s">
        <v>14</v>
      </c>
      <c r="M509" t="str">
        <f t="shared" si="45"/>
        <v>Jaume Masferrer Enric</v>
      </c>
      <c r="Q509" t="str">
        <f t="shared" si="44"/>
        <v>102916ejaumemasferrer</v>
      </c>
    </row>
    <row r="510" spans="1:17" hidden="1" x14ac:dyDescent="0.4">
      <c r="A510">
        <v>610</v>
      </c>
      <c r="B510" s="2"/>
      <c r="C510" s="4">
        <v>45909</v>
      </c>
      <c r="D510" s="5">
        <v>0.39583333333333331</v>
      </c>
      <c r="E510" s="5">
        <v>0.47916666666666669</v>
      </c>
      <c r="F510" s="2" t="s">
        <v>9</v>
      </c>
      <c r="G510" s="2" t="s">
        <v>10</v>
      </c>
      <c r="H510" s="2" t="s">
        <v>220</v>
      </c>
      <c r="I510" s="2" t="s">
        <v>213</v>
      </c>
      <c r="J510" s="2">
        <v>104959</v>
      </c>
      <c r="K510" s="2" t="s">
        <v>221</v>
      </c>
      <c r="L510" s="2" t="s">
        <v>14</v>
      </c>
      <c r="M510" t="str">
        <f t="shared" si="45"/>
        <v>Sardier Guillaume</v>
      </c>
      <c r="Q510" t="str">
        <f t="shared" si="44"/>
        <v>104959gsardier</v>
      </c>
    </row>
    <row r="511" spans="1:17" hidden="1" x14ac:dyDescent="0.4">
      <c r="A511">
        <v>611</v>
      </c>
      <c r="B511" s="2"/>
      <c r="C511" s="4">
        <v>45909</v>
      </c>
      <c r="D511" s="5">
        <v>0.39583333333333331</v>
      </c>
      <c r="E511" s="5">
        <v>0.47916666666666669</v>
      </c>
      <c r="F511" s="2" t="s">
        <v>9</v>
      </c>
      <c r="G511" s="2" t="s">
        <v>10</v>
      </c>
      <c r="H511" s="2" t="s">
        <v>341</v>
      </c>
      <c r="I511" s="2" t="s">
        <v>313</v>
      </c>
      <c r="J511" s="2">
        <v>104959</v>
      </c>
      <c r="K511" s="2" t="s">
        <v>342</v>
      </c>
      <c r="L511" s="2" t="s">
        <v>18</v>
      </c>
      <c r="M511" t="str">
        <f>I511 &amp; " " &amp; K511</f>
        <v>Louis Sardina Meesemaecker</v>
      </c>
      <c r="Q511" t="str">
        <f t="shared" si="44"/>
        <v>104959lsardinameesemaecker</v>
      </c>
    </row>
    <row r="512" spans="1:17" hidden="1" x14ac:dyDescent="0.4">
      <c r="A512">
        <v>612</v>
      </c>
      <c r="B512" s="2"/>
      <c r="C512" s="4">
        <v>45908</v>
      </c>
      <c r="D512" s="5">
        <v>0.66666666666666663</v>
      </c>
      <c r="E512" s="5">
        <v>0.72916666666666663</v>
      </c>
      <c r="F512" s="2" t="s">
        <v>9</v>
      </c>
      <c r="G512" s="2" t="s">
        <v>10</v>
      </c>
      <c r="H512" s="2" t="s">
        <v>57</v>
      </c>
      <c r="I512" s="2" t="s">
        <v>31</v>
      </c>
      <c r="J512" s="2">
        <v>104855</v>
      </c>
      <c r="K512" s="2" t="s">
        <v>58</v>
      </c>
      <c r="L512" s="2" t="s">
        <v>18</v>
      </c>
      <c r="M512" t="str">
        <f>I512 &amp; " " &amp; K512</f>
        <v>Antoine Jeannot</v>
      </c>
      <c r="Q512" t="str">
        <f t="shared" si="44"/>
        <v>104855ajeannot</v>
      </c>
    </row>
    <row r="513" spans="1:17" hidden="1" x14ac:dyDescent="0.4">
      <c r="A513">
        <v>614</v>
      </c>
      <c r="B513" s="2"/>
      <c r="C513" s="4">
        <v>45908</v>
      </c>
      <c r="D513" s="5">
        <v>0.58333333333333337</v>
      </c>
      <c r="E513" s="5">
        <v>0.64583333333333337</v>
      </c>
      <c r="F513" s="2" t="s">
        <v>9</v>
      </c>
      <c r="G513" s="2" t="s">
        <v>10</v>
      </c>
      <c r="H513" s="2" t="s">
        <v>57</v>
      </c>
      <c r="I513" s="2" t="s">
        <v>31</v>
      </c>
      <c r="J513" s="2">
        <v>104551</v>
      </c>
      <c r="K513" s="2" t="s">
        <v>58</v>
      </c>
      <c r="L513" s="2" t="s">
        <v>18</v>
      </c>
      <c r="M513" t="str">
        <f>I513 &amp; " " &amp; K513</f>
        <v>Antoine Jeannot</v>
      </c>
      <c r="Q513" t="str">
        <f t="shared" si="44"/>
        <v>104551ajeannot</v>
      </c>
    </row>
    <row r="514" spans="1:17" hidden="1" x14ac:dyDescent="0.4">
      <c r="A514">
        <v>615</v>
      </c>
      <c r="B514" s="2"/>
      <c r="C514" s="4">
        <v>45908</v>
      </c>
      <c r="D514" s="5">
        <v>0.47916666666666669</v>
      </c>
      <c r="E514" s="5">
        <v>0.54166666666666663</v>
      </c>
      <c r="F514" s="2" t="s">
        <v>9</v>
      </c>
      <c r="G514" s="2" t="s">
        <v>10</v>
      </c>
      <c r="H514" s="2" t="s">
        <v>57</v>
      </c>
      <c r="I514" s="2" t="s">
        <v>31</v>
      </c>
      <c r="J514" s="2">
        <v>104550</v>
      </c>
      <c r="K514" s="2" t="s">
        <v>58</v>
      </c>
      <c r="L514" s="2" t="s">
        <v>18</v>
      </c>
      <c r="M514" t="str">
        <f>I514 &amp; " " &amp; K514</f>
        <v>Antoine Jeannot</v>
      </c>
      <c r="Q514" t="str">
        <f t="shared" si="44"/>
        <v>104550ajeannot</v>
      </c>
    </row>
    <row r="515" spans="1:17" hidden="1" x14ac:dyDescent="0.4">
      <c r="A515">
        <v>616</v>
      </c>
      <c r="B515" s="2"/>
      <c r="C515" s="4">
        <v>45908</v>
      </c>
      <c r="D515" s="5">
        <v>0.375</v>
      </c>
      <c r="E515" s="5">
        <v>0.4375</v>
      </c>
      <c r="F515" s="2" t="s">
        <v>9</v>
      </c>
      <c r="G515" s="2" t="s">
        <v>10</v>
      </c>
      <c r="H515" s="2" t="s">
        <v>57</v>
      </c>
      <c r="I515" s="2" t="s">
        <v>31</v>
      </c>
      <c r="J515" s="2">
        <v>102916</v>
      </c>
      <c r="K515" s="2" t="s">
        <v>58</v>
      </c>
      <c r="L515" s="2" t="s">
        <v>14</v>
      </c>
      <c r="M515" t="str">
        <f>K515 &amp; " " &amp; I515</f>
        <v>Jeannot Antoine</v>
      </c>
      <c r="Q515" t="str">
        <f t="shared" si="44"/>
        <v>102916ajeannot</v>
      </c>
    </row>
    <row r="516" spans="1:17" hidden="1" x14ac:dyDescent="0.4">
      <c r="A516">
        <v>617</v>
      </c>
      <c r="B516" s="2"/>
      <c r="C516" s="4">
        <v>45909</v>
      </c>
      <c r="D516" s="5">
        <v>0.39583333333333331</v>
      </c>
      <c r="E516" s="5">
        <v>0.47916666666666669</v>
      </c>
      <c r="F516" s="2" t="s">
        <v>9</v>
      </c>
      <c r="G516" s="2" t="s">
        <v>10</v>
      </c>
      <c r="H516" s="2" t="s">
        <v>238</v>
      </c>
      <c r="I516" s="2" t="s">
        <v>239</v>
      </c>
      <c r="J516" s="2">
        <v>104959</v>
      </c>
      <c r="K516" s="2" t="s">
        <v>240</v>
      </c>
      <c r="L516" s="2" t="s">
        <v>18</v>
      </c>
      <c r="M516" t="str">
        <f>I516 &amp; " " &amp; K516</f>
        <v>Hiromi Sato</v>
      </c>
      <c r="Q516" t="str">
        <f t="shared" si="44"/>
        <v>104959hsato</v>
      </c>
    </row>
    <row r="517" spans="1:17" hidden="1" x14ac:dyDescent="0.4">
      <c r="A517">
        <v>618</v>
      </c>
      <c r="B517" s="2"/>
      <c r="C517" s="4">
        <v>45909</v>
      </c>
      <c r="D517" s="5">
        <v>0.39583333333333331</v>
      </c>
      <c r="E517" s="5">
        <v>0.47916666666666669</v>
      </c>
      <c r="F517" s="2" t="s">
        <v>9</v>
      </c>
      <c r="G517" s="2" t="s">
        <v>10</v>
      </c>
      <c r="H517" s="2" t="s">
        <v>476</v>
      </c>
      <c r="I517" s="2" t="s">
        <v>477</v>
      </c>
      <c r="J517" s="2">
        <v>104959</v>
      </c>
      <c r="K517" s="2" t="s">
        <v>478</v>
      </c>
      <c r="L517" s="2" t="s">
        <v>14</v>
      </c>
      <c r="M517" t="str">
        <f t="shared" ref="M517:M522" si="46">K517 &amp; " " &amp; I517</f>
        <v>Schena Paolo</v>
      </c>
      <c r="Q517" t="str">
        <f t="shared" si="44"/>
        <v>104959pnschena</v>
      </c>
    </row>
    <row r="518" spans="1:17" hidden="1" x14ac:dyDescent="0.4">
      <c r="A518">
        <v>620</v>
      </c>
      <c r="B518" s="2"/>
      <c r="C518" s="4">
        <v>45908</v>
      </c>
      <c r="D518" s="5">
        <v>0.66666666666666663</v>
      </c>
      <c r="E518" s="5">
        <v>0.72916666666666663</v>
      </c>
      <c r="F518" s="2" t="s">
        <v>9</v>
      </c>
      <c r="G518" s="2" t="s">
        <v>10</v>
      </c>
      <c r="H518" s="2" t="s">
        <v>563</v>
      </c>
      <c r="I518" s="2" t="s">
        <v>564</v>
      </c>
      <c r="J518" s="2">
        <v>104855</v>
      </c>
      <c r="K518" s="2" t="s">
        <v>565</v>
      </c>
      <c r="L518" s="2" t="s">
        <v>14</v>
      </c>
      <c r="M518" t="str">
        <f t="shared" si="46"/>
        <v>Jen Takashi</v>
      </c>
      <c r="Q518" t="str">
        <f t="shared" si="44"/>
        <v>104855tjen</v>
      </c>
    </row>
    <row r="519" spans="1:17" hidden="1" x14ac:dyDescent="0.4">
      <c r="A519">
        <v>622</v>
      </c>
      <c r="B519" s="2"/>
      <c r="C519" s="4">
        <v>45908</v>
      </c>
      <c r="D519" s="5">
        <v>0.58333333333333337</v>
      </c>
      <c r="E519" s="5">
        <v>0.64583333333333337</v>
      </c>
      <c r="F519" s="2" t="s">
        <v>9</v>
      </c>
      <c r="G519" s="2" t="s">
        <v>10</v>
      </c>
      <c r="H519" s="2" t="s">
        <v>563</v>
      </c>
      <c r="I519" s="2" t="s">
        <v>564</v>
      </c>
      <c r="J519" s="2">
        <v>104551</v>
      </c>
      <c r="K519" s="2" t="s">
        <v>565</v>
      </c>
      <c r="L519" s="2" t="s">
        <v>14</v>
      </c>
      <c r="M519" t="str">
        <f t="shared" si="46"/>
        <v>Jen Takashi</v>
      </c>
      <c r="Q519" t="str">
        <f t="shared" si="44"/>
        <v>104551tjen</v>
      </c>
    </row>
    <row r="520" spans="1:17" hidden="1" x14ac:dyDescent="0.4">
      <c r="A520">
        <v>623</v>
      </c>
      <c r="B520" s="2"/>
      <c r="C520" s="4">
        <v>45908</v>
      </c>
      <c r="D520" s="5">
        <v>0.47916666666666669</v>
      </c>
      <c r="E520" s="5">
        <v>0.54166666666666663</v>
      </c>
      <c r="F520" s="2" t="s">
        <v>9</v>
      </c>
      <c r="G520" s="2" t="s">
        <v>10</v>
      </c>
      <c r="H520" s="2" t="s">
        <v>563</v>
      </c>
      <c r="I520" s="2" t="s">
        <v>564</v>
      </c>
      <c r="J520" s="2">
        <v>104550</v>
      </c>
      <c r="K520" s="2" t="s">
        <v>565</v>
      </c>
      <c r="L520" s="2" t="s">
        <v>14</v>
      </c>
      <c r="M520" t="str">
        <f t="shared" si="46"/>
        <v>Jen Takashi</v>
      </c>
      <c r="Q520" t="str">
        <f t="shared" si="44"/>
        <v>104550tjen</v>
      </c>
    </row>
    <row r="521" spans="1:17" hidden="1" x14ac:dyDescent="0.4">
      <c r="A521">
        <v>624</v>
      </c>
      <c r="B521" s="2"/>
      <c r="C521" s="4">
        <v>45908</v>
      </c>
      <c r="D521" s="5">
        <v>0.375</v>
      </c>
      <c r="E521" s="5">
        <v>0.4375</v>
      </c>
      <c r="F521" s="2" t="s">
        <v>9</v>
      </c>
      <c r="G521" s="2" t="s">
        <v>10</v>
      </c>
      <c r="H521" s="2" t="s">
        <v>563</v>
      </c>
      <c r="I521" s="2" t="s">
        <v>564</v>
      </c>
      <c r="J521" s="2">
        <v>102916</v>
      </c>
      <c r="K521" s="2" t="s">
        <v>565</v>
      </c>
      <c r="L521" s="2" t="s">
        <v>14</v>
      </c>
      <c r="M521" t="str">
        <f t="shared" si="46"/>
        <v>Jen Takashi</v>
      </c>
      <c r="Q521" t="str">
        <f t="shared" si="44"/>
        <v>102916tjen</v>
      </c>
    </row>
    <row r="522" spans="1:17" hidden="1" x14ac:dyDescent="0.4">
      <c r="A522">
        <v>625</v>
      </c>
      <c r="B522" s="2"/>
      <c r="C522" s="4">
        <v>45909</v>
      </c>
      <c r="D522" s="5">
        <v>0.39583333333333331</v>
      </c>
      <c r="E522" s="5">
        <v>0.47916666666666669</v>
      </c>
      <c r="F522" s="2" t="s">
        <v>9</v>
      </c>
      <c r="G522" s="2" t="s">
        <v>10</v>
      </c>
      <c r="H522" s="2" t="s">
        <v>536</v>
      </c>
      <c r="I522" s="2" t="s">
        <v>537</v>
      </c>
      <c r="J522" s="2">
        <v>104959</v>
      </c>
      <c r="K522" s="2" t="s">
        <v>538</v>
      </c>
      <c r="L522" s="2" t="s">
        <v>14</v>
      </c>
      <c r="M522" t="str">
        <f t="shared" si="46"/>
        <v>Schuurman Solveig</v>
      </c>
      <c r="Q522" t="str">
        <f t="shared" si="44"/>
        <v>104959sschuurman</v>
      </c>
    </row>
    <row r="523" spans="1:17" hidden="1" x14ac:dyDescent="0.4">
      <c r="A523">
        <v>626</v>
      </c>
      <c r="B523" s="2"/>
      <c r="C523" s="4">
        <v>45909</v>
      </c>
      <c r="D523" s="5">
        <v>0.39583333333333331</v>
      </c>
      <c r="E523" s="5">
        <v>0.47916666666666669</v>
      </c>
      <c r="F523" s="2" t="s">
        <v>9</v>
      </c>
      <c r="G523" s="2" t="s">
        <v>10</v>
      </c>
      <c r="H523" s="2" t="s">
        <v>397</v>
      </c>
      <c r="I523" s="2" t="s">
        <v>398</v>
      </c>
      <c r="J523" s="2">
        <v>104959</v>
      </c>
      <c r="K523" s="2" t="s">
        <v>399</v>
      </c>
      <c r="L523" s="2" t="s">
        <v>18</v>
      </c>
      <c r="M523" t="str">
        <f>I523 &amp; " " &amp; K523</f>
        <v>Manon Sekfali-Bonnier</v>
      </c>
      <c r="Q523" t="str">
        <f t="shared" si="44"/>
        <v>104959msekfalibonnier</v>
      </c>
    </row>
    <row r="524" spans="1:17" hidden="1" x14ac:dyDescent="0.4">
      <c r="A524">
        <v>627</v>
      </c>
      <c r="B524" s="2"/>
      <c r="C524" s="4">
        <v>45908</v>
      </c>
      <c r="D524" s="5">
        <v>0.66666666666666663</v>
      </c>
      <c r="E524" s="5">
        <v>0.72916666666666663</v>
      </c>
      <c r="F524" s="2" t="s">
        <v>9</v>
      </c>
      <c r="G524" s="2" t="s">
        <v>10</v>
      </c>
      <c r="H524" s="2" t="s">
        <v>232</v>
      </c>
      <c r="I524" s="2" t="s">
        <v>233</v>
      </c>
      <c r="J524" s="2">
        <v>104855</v>
      </c>
      <c r="K524" s="2" t="s">
        <v>234</v>
      </c>
      <c r="L524" s="2" t="s">
        <v>18</v>
      </c>
      <c r="M524" t="str">
        <f>I524 &amp; " " &amp; K524</f>
        <v>Henry Joly</v>
      </c>
      <c r="Q524" t="str">
        <f t="shared" si="44"/>
        <v>104855hjoly</v>
      </c>
    </row>
    <row r="525" spans="1:17" hidden="1" x14ac:dyDescent="0.4">
      <c r="A525">
        <v>629</v>
      </c>
      <c r="B525" s="2"/>
      <c r="C525" s="4">
        <v>45908</v>
      </c>
      <c r="D525" s="5">
        <v>0.58333333333333337</v>
      </c>
      <c r="E525" s="5">
        <v>0.64583333333333337</v>
      </c>
      <c r="F525" s="2" t="s">
        <v>9</v>
      </c>
      <c r="G525" s="2" t="s">
        <v>10</v>
      </c>
      <c r="H525" s="2" t="s">
        <v>232</v>
      </c>
      <c r="I525" s="2" t="s">
        <v>233</v>
      </c>
      <c r="J525" s="2">
        <v>104551</v>
      </c>
      <c r="K525" s="2" t="s">
        <v>234</v>
      </c>
      <c r="L525" s="2" t="s">
        <v>18</v>
      </c>
      <c r="M525" t="str">
        <f t="shared" ref="M525:M530" si="47">I525 &amp; " " &amp; K525</f>
        <v>Henry Joly</v>
      </c>
      <c r="Q525" t="str">
        <f t="shared" si="44"/>
        <v>104551hjoly</v>
      </c>
    </row>
    <row r="526" spans="1:17" hidden="1" x14ac:dyDescent="0.4">
      <c r="A526">
        <v>630</v>
      </c>
      <c r="B526" s="2"/>
      <c r="C526" s="4">
        <v>45908</v>
      </c>
      <c r="D526" s="5">
        <v>0.47916666666666669</v>
      </c>
      <c r="E526" s="5">
        <v>0.54166666666666663</v>
      </c>
      <c r="F526" s="2" t="s">
        <v>9</v>
      </c>
      <c r="G526" s="2" t="s">
        <v>10</v>
      </c>
      <c r="H526" s="2" t="s">
        <v>232</v>
      </c>
      <c r="I526" s="2" t="s">
        <v>233</v>
      </c>
      <c r="J526" s="2">
        <v>104550</v>
      </c>
      <c r="K526" s="2" t="s">
        <v>234</v>
      </c>
      <c r="L526" s="2" t="s">
        <v>18</v>
      </c>
      <c r="M526" t="str">
        <f t="shared" si="47"/>
        <v>Henry Joly</v>
      </c>
      <c r="Q526" t="str">
        <f t="shared" si="44"/>
        <v>104550hjoly</v>
      </c>
    </row>
    <row r="527" spans="1:17" hidden="1" x14ac:dyDescent="0.4">
      <c r="A527">
        <v>631</v>
      </c>
      <c r="B527" s="2"/>
      <c r="C527" s="4">
        <v>45908</v>
      </c>
      <c r="D527" s="5">
        <v>0.375</v>
      </c>
      <c r="E527" s="5">
        <v>0.4375</v>
      </c>
      <c r="F527" s="2" t="s">
        <v>9</v>
      </c>
      <c r="G527" s="2" t="s">
        <v>10</v>
      </c>
      <c r="H527" s="2" t="s">
        <v>232</v>
      </c>
      <c r="I527" s="2" t="s">
        <v>233</v>
      </c>
      <c r="J527" s="2">
        <v>102916</v>
      </c>
      <c r="K527" s="2" t="s">
        <v>234</v>
      </c>
      <c r="L527" s="2" t="s">
        <v>18</v>
      </c>
      <c r="M527" t="str">
        <f t="shared" si="47"/>
        <v>Henry Joly</v>
      </c>
      <c r="Q527" t="str">
        <f t="shared" si="44"/>
        <v>102916hjoly</v>
      </c>
    </row>
    <row r="528" spans="1:17" hidden="1" x14ac:dyDescent="0.4">
      <c r="A528">
        <v>632</v>
      </c>
      <c r="B528" s="2"/>
      <c r="C528" s="4">
        <v>45909</v>
      </c>
      <c r="D528" s="5">
        <v>0.39583333333333331</v>
      </c>
      <c r="E528" s="5">
        <v>0.47916666666666669</v>
      </c>
      <c r="F528" s="2" t="s">
        <v>9</v>
      </c>
      <c r="G528" s="2" t="s">
        <v>10</v>
      </c>
      <c r="H528" s="2" t="s">
        <v>400</v>
      </c>
      <c r="I528" s="2" t="s">
        <v>401</v>
      </c>
      <c r="J528" s="2">
        <v>104959</v>
      </c>
      <c r="K528" s="2" t="s">
        <v>402</v>
      </c>
      <c r="L528" s="2" t="s">
        <v>18</v>
      </c>
      <c r="M528" t="str">
        <f t="shared" si="47"/>
        <v>Mai Seto</v>
      </c>
      <c r="Q528" t="str">
        <f t="shared" si="44"/>
        <v>104959mseto</v>
      </c>
    </row>
    <row r="529" spans="1:17" hidden="1" x14ac:dyDescent="0.4">
      <c r="A529">
        <v>633</v>
      </c>
      <c r="B529" s="2"/>
      <c r="C529" s="4">
        <v>45909</v>
      </c>
      <c r="D529" s="5">
        <v>0.39583333333333331</v>
      </c>
      <c r="E529" s="5">
        <v>0.47916666666666669</v>
      </c>
      <c r="F529" s="2" t="s">
        <v>9</v>
      </c>
      <c r="G529" s="2" t="s">
        <v>10</v>
      </c>
      <c r="H529" s="2" t="s">
        <v>184</v>
      </c>
      <c r="I529" s="2" t="s">
        <v>185</v>
      </c>
      <c r="J529" s="2">
        <v>104959</v>
      </c>
      <c r="K529" s="2" t="s">
        <v>186</v>
      </c>
      <c r="L529" s="2" t="s">
        <v>18</v>
      </c>
      <c r="M529" t="str">
        <f t="shared" si="47"/>
        <v>Elisio Sezestre</v>
      </c>
      <c r="Q529" t="str">
        <f t="shared" si="44"/>
        <v>104959esezestre</v>
      </c>
    </row>
    <row r="530" spans="1:17" hidden="1" x14ac:dyDescent="0.4">
      <c r="A530">
        <v>634</v>
      </c>
      <c r="B530" s="2"/>
      <c r="C530" s="4">
        <v>45908</v>
      </c>
      <c r="D530" s="5">
        <v>0.66666666666666663</v>
      </c>
      <c r="E530" s="5">
        <v>0.72916666666666663</v>
      </c>
      <c r="F530" s="2" t="s">
        <v>9</v>
      </c>
      <c r="G530" s="2" t="s">
        <v>10</v>
      </c>
      <c r="H530" s="2" t="s">
        <v>424</v>
      </c>
      <c r="I530" s="2" t="s">
        <v>425</v>
      </c>
      <c r="J530" s="2">
        <v>104855</v>
      </c>
      <c r="K530" s="2" t="s">
        <v>426</v>
      </c>
      <c r="L530" s="2" t="s">
        <v>18</v>
      </c>
      <c r="M530" t="str">
        <f t="shared" si="47"/>
        <v>Nils Josselin</v>
      </c>
      <c r="Q530" t="str">
        <f t="shared" si="44"/>
        <v>104855njosselin</v>
      </c>
    </row>
    <row r="531" spans="1:17" hidden="1" x14ac:dyDescent="0.4">
      <c r="A531">
        <v>636</v>
      </c>
      <c r="B531" s="2"/>
      <c r="C531" s="4">
        <v>45908</v>
      </c>
      <c r="D531" s="5">
        <v>0.58333333333333337</v>
      </c>
      <c r="E531" s="5">
        <v>0.64583333333333337</v>
      </c>
      <c r="F531" s="2" t="s">
        <v>9</v>
      </c>
      <c r="G531" s="2" t="s">
        <v>10</v>
      </c>
      <c r="H531" s="2" t="s">
        <v>424</v>
      </c>
      <c r="I531" s="2" t="s">
        <v>425</v>
      </c>
      <c r="J531" s="2">
        <v>104551</v>
      </c>
      <c r="K531" s="2" t="s">
        <v>426</v>
      </c>
      <c r="L531" s="2" t="s">
        <v>18</v>
      </c>
      <c r="M531" t="str">
        <f>I531 &amp; " " &amp; K531</f>
        <v>Nils Josselin</v>
      </c>
      <c r="Q531" t="str">
        <f t="shared" si="44"/>
        <v>104551njosselin</v>
      </c>
    </row>
    <row r="532" spans="1:17" hidden="1" x14ac:dyDescent="0.4">
      <c r="A532">
        <v>637</v>
      </c>
      <c r="B532" s="2"/>
      <c r="C532" s="4">
        <v>45908</v>
      </c>
      <c r="D532" s="5">
        <v>0.47916666666666669</v>
      </c>
      <c r="E532" s="5">
        <v>0.54166666666666663</v>
      </c>
      <c r="F532" s="2" t="s">
        <v>9</v>
      </c>
      <c r="G532" s="2" t="s">
        <v>10</v>
      </c>
      <c r="H532" s="2" t="s">
        <v>424</v>
      </c>
      <c r="I532" s="2" t="s">
        <v>425</v>
      </c>
      <c r="J532" s="2">
        <v>104550</v>
      </c>
      <c r="K532" s="2" t="s">
        <v>426</v>
      </c>
      <c r="L532" s="2" t="s">
        <v>18</v>
      </c>
      <c r="M532" t="str">
        <f>I532 &amp; " " &amp; K532</f>
        <v>Nils Josselin</v>
      </c>
      <c r="Q532" t="str">
        <f t="shared" si="44"/>
        <v>104550njosselin</v>
      </c>
    </row>
    <row r="533" spans="1:17" hidden="1" x14ac:dyDescent="0.4">
      <c r="A533">
        <v>638</v>
      </c>
      <c r="B533" s="2"/>
      <c r="C533" s="4">
        <v>45908</v>
      </c>
      <c r="D533" s="5">
        <v>0.375</v>
      </c>
      <c r="E533" s="5">
        <v>0.4375</v>
      </c>
      <c r="F533" s="2" t="s">
        <v>9</v>
      </c>
      <c r="G533" s="2" t="s">
        <v>10</v>
      </c>
      <c r="H533" s="2" t="s">
        <v>424</v>
      </c>
      <c r="I533" s="2" t="s">
        <v>425</v>
      </c>
      <c r="J533" s="2">
        <v>102916</v>
      </c>
      <c r="K533" s="2" t="s">
        <v>426</v>
      </c>
      <c r="L533" s="2" t="s">
        <v>14</v>
      </c>
      <c r="M533" t="str">
        <f>K533 &amp; " " &amp; I533</f>
        <v>Josselin Nils</v>
      </c>
      <c r="Q533" t="str">
        <f t="shared" si="44"/>
        <v>102916njosselin</v>
      </c>
    </row>
    <row r="534" spans="1:17" hidden="1" x14ac:dyDescent="0.4">
      <c r="A534">
        <v>639</v>
      </c>
      <c r="B534" s="2"/>
      <c r="C534" s="4">
        <v>45909</v>
      </c>
      <c r="D534" s="5">
        <v>0.39583333333333331</v>
      </c>
      <c r="E534" s="5">
        <v>0.47916666666666669</v>
      </c>
      <c r="F534" s="2" t="s">
        <v>9</v>
      </c>
      <c r="G534" s="2" t="s">
        <v>10</v>
      </c>
      <c r="H534" s="2" t="s">
        <v>403</v>
      </c>
      <c r="I534" s="2" t="s">
        <v>404</v>
      </c>
      <c r="J534" s="2">
        <v>104959</v>
      </c>
      <c r="K534" s="2" t="s">
        <v>405</v>
      </c>
      <c r="L534" s="2" t="s">
        <v>18</v>
      </c>
      <c r="M534" t="str">
        <f>I534 &amp; " " &amp; K534</f>
        <v>Marina Shcherbina</v>
      </c>
      <c r="Q534" t="str">
        <f t="shared" si="44"/>
        <v>104959mshcherbina</v>
      </c>
    </row>
    <row r="535" spans="1:17" hidden="1" x14ac:dyDescent="0.4">
      <c r="A535">
        <v>640</v>
      </c>
      <c r="B535" s="2"/>
      <c r="C535" s="4">
        <v>45909</v>
      </c>
      <c r="D535" s="5">
        <v>0.39583333333333331</v>
      </c>
      <c r="E535" s="5">
        <v>0.47916666666666669</v>
      </c>
      <c r="F535" s="2" t="s">
        <v>9</v>
      </c>
      <c r="G535" s="2" t="s">
        <v>10</v>
      </c>
      <c r="H535" s="2" t="s">
        <v>539</v>
      </c>
      <c r="I535" s="2" t="s">
        <v>540</v>
      </c>
      <c r="J535" s="2">
        <v>104959</v>
      </c>
      <c r="K535" s="2" t="s">
        <v>541</v>
      </c>
      <c r="L535" s="2" t="s">
        <v>14</v>
      </c>
      <c r="M535" t="str">
        <f>K535 &amp; " " &amp; I535</f>
        <v>Shin Sungwon</v>
      </c>
      <c r="Q535" t="str">
        <f t="shared" si="44"/>
        <v>104959sshin</v>
      </c>
    </row>
    <row r="536" spans="1:17" hidden="1" x14ac:dyDescent="0.4">
      <c r="A536">
        <v>641</v>
      </c>
      <c r="B536" s="2"/>
      <c r="C536" s="4">
        <v>45908</v>
      </c>
      <c r="D536" s="5">
        <v>0.66666666666666663</v>
      </c>
      <c r="E536" s="5">
        <v>0.72916666666666663</v>
      </c>
      <c r="F536" s="2" t="s">
        <v>9</v>
      </c>
      <c r="G536" s="2" t="s">
        <v>10</v>
      </c>
      <c r="H536" s="2" t="s">
        <v>496</v>
      </c>
      <c r="I536" s="2" t="s">
        <v>497</v>
      </c>
      <c r="J536" s="2">
        <v>104855</v>
      </c>
      <c r="K536" s="2" t="s">
        <v>498</v>
      </c>
      <c r="L536" s="2" t="s">
        <v>18</v>
      </c>
      <c r="M536" t="str">
        <f>I536 &amp; " " &amp; K536</f>
        <v>Rouben Kazandjian</v>
      </c>
      <c r="Q536" t="str">
        <f t="shared" si="44"/>
        <v>104855rkazandjian</v>
      </c>
    </row>
    <row r="537" spans="1:17" hidden="1" x14ac:dyDescent="0.4">
      <c r="A537">
        <v>643</v>
      </c>
      <c r="B537" s="2"/>
      <c r="C537" s="4">
        <v>45908</v>
      </c>
      <c r="D537" s="5">
        <v>0.58333333333333337</v>
      </c>
      <c r="E537" s="5">
        <v>0.64583333333333337</v>
      </c>
      <c r="F537" s="2" t="s">
        <v>9</v>
      </c>
      <c r="G537" s="2" t="s">
        <v>10</v>
      </c>
      <c r="H537" s="2" t="s">
        <v>496</v>
      </c>
      <c r="I537" s="2" t="s">
        <v>497</v>
      </c>
      <c r="J537" s="2">
        <v>104551</v>
      </c>
      <c r="K537" s="2" t="s">
        <v>498</v>
      </c>
      <c r="L537" s="2" t="s">
        <v>18</v>
      </c>
      <c r="M537" t="str">
        <f>I537 &amp; " " &amp; K537</f>
        <v>Rouben Kazandjian</v>
      </c>
      <c r="Q537" t="str">
        <f t="shared" ref="Q537:Q590" si="48">J537&amp;H537</f>
        <v>104551rkazandjian</v>
      </c>
    </row>
    <row r="538" spans="1:17" hidden="1" x14ac:dyDescent="0.4">
      <c r="A538">
        <v>644</v>
      </c>
      <c r="B538" s="2"/>
      <c r="C538" s="4">
        <v>45908</v>
      </c>
      <c r="D538" s="5">
        <v>0.47916666666666669</v>
      </c>
      <c r="E538" s="5">
        <v>0.54166666666666663</v>
      </c>
      <c r="F538" s="2" t="s">
        <v>9</v>
      </c>
      <c r="G538" s="2" t="s">
        <v>10</v>
      </c>
      <c r="H538" s="2" t="s">
        <v>496</v>
      </c>
      <c r="I538" s="2" t="s">
        <v>497</v>
      </c>
      <c r="J538" s="2">
        <v>104550</v>
      </c>
      <c r="K538" s="2" t="s">
        <v>498</v>
      </c>
      <c r="L538" s="2" t="s">
        <v>18</v>
      </c>
      <c r="M538" t="str">
        <f>I538 &amp; " " &amp; K538</f>
        <v>Rouben Kazandjian</v>
      </c>
      <c r="Q538" t="str">
        <f t="shared" si="48"/>
        <v>104550rkazandjian</v>
      </c>
    </row>
    <row r="539" spans="1:17" hidden="1" x14ac:dyDescent="0.4">
      <c r="A539">
        <v>645</v>
      </c>
      <c r="B539" s="2"/>
      <c r="C539" s="4">
        <v>45908</v>
      </c>
      <c r="D539" s="5">
        <v>0.375</v>
      </c>
      <c r="E539" s="5">
        <v>0.4375</v>
      </c>
      <c r="F539" s="2" t="s">
        <v>9</v>
      </c>
      <c r="G539" s="2" t="s">
        <v>10</v>
      </c>
      <c r="H539" s="2" t="s">
        <v>496</v>
      </c>
      <c r="I539" s="2" t="s">
        <v>497</v>
      </c>
      <c r="J539" s="2">
        <v>102916</v>
      </c>
      <c r="K539" s="2" t="s">
        <v>498</v>
      </c>
      <c r="L539" s="2" t="s">
        <v>18</v>
      </c>
      <c r="M539" t="str">
        <f>I539 &amp; " " &amp; K539</f>
        <v>Rouben Kazandjian</v>
      </c>
      <c r="Q539" t="str">
        <f t="shared" si="48"/>
        <v>102916rkazandjian</v>
      </c>
    </row>
    <row r="540" spans="1:17" hidden="1" x14ac:dyDescent="0.4">
      <c r="A540">
        <v>646</v>
      </c>
      <c r="B540" s="2"/>
      <c r="C540" s="4">
        <v>45909</v>
      </c>
      <c r="D540" s="5">
        <v>0.39583333333333331</v>
      </c>
      <c r="E540" s="5">
        <v>0.47916666666666669</v>
      </c>
      <c r="F540" s="2" t="s">
        <v>9</v>
      </c>
      <c r="G540" s="2" t="s">
        <v>10</v>
      </c>
      <c r="H540" s="2" t="s">
        <v>406</v>
      </c>
      <c r="I540" s="2" t="s">
        <v>407</v>
      </c>
      <c r="J540" s="2">
        <v>104959</v>
      </c>
      <c r="K540" s="2" t="s">
        <v>408</v>
      </c>
      <c r="L540" s="2" t="s">
        <v>18</v>
      </c>
      <c r="M540" t="str">
        <f>I540 &amp; " " &amp; K540</f>
        <v>Masaki Shiozawa</v>
      </c>
      <c r="Q540" t="str">
        <f t="shared" si="48"/>
        <v>104959mshiozawa</v>
      </c>
    </row>
    <row r="541" spans="1:17" hidden="1" x14ac:dyDescent="0.4">
      <c r="A541">
        <v>647</v>
      </c>
      <c r="B541" s="2"/>
      <c r="C541" s="4">
        <v>45909</v>
      </c>
      <c r="D541" s="5">
        <v>0.39583333333333331</v>
      </c>
      <c r="E541" s="5">
        <v>0.47916666666666669</v>
      </c>
      <c r="F541" s="2" t="s">
        <v>9</v>
      </c>
      <c r="G541" s="2" t="s">
        <v>10</v>
      </c>
      <c r="H541" s="2" t="s">
        <v>140</v>
      </c>
      <c r="I541" s="2" t="s">
        <v>141</v>
      </c>
      <c r="J541" s="2">
        <v>104959</v>
      </c>
      <c r="K541" s="2" t="s">
        <v>142</v>
      </c>
      <c r="L541" s="2" t="s">
        <v>14</v>
      </c>
      <c r="M541" t="str">
        <f>K541 &amp; " " &amp; I541</f>
        <v>Tabacaru David</v>
      </c>
      <c r="Q541" t="str">
        <f t="shared" si="48"/>
        <v>104959dtabacaru</v>
      </c>
    </row>
    <row r="542" spans="1:17" hidden="1" x14ac:dyDescent="0.4">
      <c r="A542">
        <v>648</v>
      </c>
      <c r="B542" s="2"/>
      <c r="C542" s="4">
        <v>45908</v>
      </c>
      <c r="D542" s="5">
        <v>0.66666666666666663</v>
      </c>
      <c r="E542" s="5">
        <v>0.72916666666666663</v>
      </c>
      <c r="F542" s="2" t="s">
        <v>9</v>
      </c>
      <c r="G542" s="2" t="s">
        <v>10</v>
      </c>
      <c r="H542" s="2" t="s">
        <v>59</v>
      </c>
      <c r="I542" s="2" t="s">
        <v>60</v>
      </c>
      <c r="J542" s="2">
        <v>104855</v>
      </c>
      <c r="K542" s="2" t="s">
        <v>61</v>
      </c>
      <c r="L542" s="2" t="s">
        <v>18</v>
      </c>
      <c r="M542" t="str">
        <f>I542 &amp; " " &amp; K542</f>
        <v>Ariane Kerouanton</v>
      </c>
      <c r="Q542" t="str">
        <f t="shared" si="48"/>
        <v>104855akerouanton</v>
      </c>
    </row>
    <row r="543" spans="1:17" hidden="1" x14ac:dyDescent="0.4">
      <c r="A543">
        <v>650</v>
      </c>
      <c r="B543" s="2"/>
      <c r="C543" s="4">
        <v>45908</v>
      </c>
      <c r="D543" s="5">
        <v>0.58333333333333337</v>
      </c>
      <c r="E543" s="5">
        <v>0.64583333333333337</v>
      </c>
      <c r="F543" s="2" t="s">
        <v>9</v>
      </c>
      <c r="G543" s="2" t="s">
        <v>10</v>
      </c>
      <c r="H543" s="2" t="s">
        <v>59</v>
      </c>
      <c r="I543" s="2" t="s">
        <v>60</v>
      </c>
      <c r="J543" s="2">
        <v>104551</v>
      </c>
      <c r="K543" s="2" t="s">
        <v>61</v>
      </c>
      <c r="L543" s="2" t="s">
        <v>18</v>
      </c>
      <c r="M543" t="str">
        <f>I543 &amp; " " &amp; K543</f>
        <v>Ariane Kerouanton</v>
      </c>
      <c r="Q543" t="str">
        <f t="shared" si="48"/>
        <v>104551akerouanton</v>
      </c>
    </row>
    <row r="544" spans="1:17" hidden="1" x14ac:dyDescent="0.4">
      <c r="A544">
        <v>651</v>
      </c>
      <c r="B544" s="2"/>
      <c r="C544" s="4">
        <v>45908</v>
      </c>
      <c r="D544" s="5">
        <v>0.47916666666666669</v>
      </c>
      <c r="E544" s="5">
        <v>0.54166666666666663</v>
      </c>
      <c r="F544" s="2" t="s">
        <v>9</v>
      </c>
      <c r="G544" s="2" t="s">
        <v>10</v>
      </c>
      <c r="H544" s="2" t="s">
        <v>59</v>
      </c>
      <c r="I544" s="2" t="s">
        <v>60</v>
      </c>
      <c r="J544" s="2">
        <v>104550</v>
      </c>
      <c r="K544" s="2" t="s">
        <v>61</v>
      </c>
      <c r="L544" s="2" t="s">
        <v>18</v>
      </c>
      <c r="M544" t="str">
        <f>I544 &amp; " " &amp; K544</f>
        <v>Ariane Kerouanton</v>
      </c>
      <c r="Q544" t="str">
        <f t="shared" si="48"/>
        <v>104550akerouanton</v>
      </c>
    </row>
    <row r="545" spans="1:17" hidden="1" x14ac:dyDescent="0.4">
      <c r="A545">
        <v>652</v>
      </c>
      <c r="B545" s="2"/>
      <c r="C545" s="4">
        <v>45908</v>
      </c>
      <c r="D545" s="5">
        <v>0.375</v>
      </c>
      <c r="E545" s="5">
        <v>0.4375</v>
      </c>
      <c r="F545" s="2" t="s">
        <v>9</v>
      </c>
      <c r="G545" s="2" t="s">
        <v>10</v>
      </c>
      <c r="H545" s="2" t="s">
        <v>59</v>
      </c>
      <c r="I545" s="2" t="s">
        <v>60</v>
      </c>
      <c r="J545" s="2">
        <v>102916</v>
      </c>
      <c r="K545" s="2" t="s">
        <v>61</v>
      </c>
      <c r="L545" s="2" t="s">
        <v>18</v>
      </c>
      <c r="M545" t="str">
        <f>I545 &amp; " " &amp; K545</f>
        <v>Ariane Kerouanton</v>
      </c>
      <c r="Q545" t="str">
        <f t="shared" si="48"/>
        <v>102916akerouanton</v>
      </c>
    </row>
    <row r="546" spans="1:17" hidden="1" x14ac:dyDescent="0.4">
      <c r="A546">
        <v>653</v>
      </c>
      <c r="B546" s="2"/>
      <c r="C546" s="4">
        <v>45909</v>
      </c>
      <c r="D546" s="5">
        <v>0.39583333333333331</v>
      </c>
      <c r="E546" s="5">
        <v>0.47916666666666669</v>
      </c>
      <c r="F546" s="2" t="s">
        <v>9</v>
      </c>
      <c r="G546" s="2" t="s">
        <v>10</v>
      </c>
      <c r="H546" s="2" t="s">
        <v>241</v>
      </c>
      <c r="I546" s="2" t="s">
        <v>242</v>
      </c>
      <c r="J546" s="2">
        <v>104959</v>
      </c>
      <c r="K546" s="2" t="s">
        <v>243</v>
      </c>
      <c r="L546" s="2" t="s">
        <v>18</v>
      </c>
      <c r="M546" t="str">
        <f>I546 &amp; " " &amp; K546</f>
        <v>Hinata Taguchi</v>
      </c>
      <c r="Q546" t="str">
        <f t="shared" si="48"/>
        <v>104959htaguchi</v>
      </c>
    </row>
    <row r="547" spans="1:17" hidden="1" x14ac:dyDescent="0.4">
      <c r="A547">
        <v>654</v>
      </c>
      <c r="B547" s="2"/>
      <c r="C547" s="4">
        <v>45909</v>
      </c>
      <c r="D547" s="5">
        <v>0.39583333333333331</v>
      </c>
      <c r="E547" s="5">
        <v>0.47916666666666669</v>
      </c>
      <c r="F547" s="2" t="s">
        <v>9</v>
      </c>
      <c r="G547" s="2" t="s">
        <v>10</v>
      </c>
      <c r="H547" s="2" t="s">
        <v>604</v>
      </c>
      <c r="I547" s="2" t="s">
        <v>605</v>
      </c>
      <c r="J547" s="2">
        <v>104959</v>
      </c>
      <c r="K547" s="2" t="s">
        <v>606</v>
      </c>
      <c r="L547" s="2" t="s">
        <v>14</v>
      </c>
      <c r="M547" t="str">
        <f>K547 &amp; " " &amp; I547</f>
        <v>Takasaki Yume</v>
      </c>
      <c r="Q547" t="str">
        <f t="shared" si="48"/>
        <v>104959ytakasaki</v>
      </c>
    </row>
    <row r="548" spans="1:17" hidden="1" x14ac:dyDescent="0.4">
      <c r="A548">
        <v>656</v>
      </c>
      <c r="B548" s="2"/>
      <c r="C548" s="4">
        <v>45908</v>
      </c>
      <c r="D548" s="5">
        <v>0.58333333333333337</v>
      </c>
      <c r="E548" s="5">
        <v>0.64583333333333337</v>
      </c>
      <c r="F548" s="2" t="s">
        <v>9</v>
      </c>
      <c r="G548" s="2" t="s">
        <v>10</v>
      </c>
      <c r="H548" s="2" t="s">
        <v>287</v>
      </c>
      <c r="I548" s="2" t="s">
        <v>288</v>
      </c>
      <c r="J548" s="2">
        <v>104551</v>
      </c>
      <c r="K548" s="2" t="s">
        <v>289</v>
      </c>
      <c r="L548" s="2" t="s">
        <v>18</v>
      </c>
      <c r="M548" t="str">
        <f>K548 &amp; " " &amp; I548</f>
        <v>Khalifa Justine</v>
      </c>
      <c r="Q548" t="str">
        <f t="shared" si="48"/>
        <v>104551jkhalifa</v>
      </c>
    </row>
    <row r="549" spans="1:17" s="10" customFormat="1" hidden="1" x14ac:dyDescent="0.4">
      <c r="A549">
        <v>657</v>
      </c>
      <c r="B549" s="2"/>
      <c r="C549" s="11">
        <v>45908</v>
      </c>
      <c r="D549" s="12">
        <v>0.47916666666666669</v>
      </c>
      <c r="E549" s="12">
        <v>0.54166666666666663</v>
      </c>
      <c r="F549" s="2" t="s">
        <v>9</v>
      </c>
      <c r="G549" s="2" t="s">
        <v>10</v>
      </c>
      <c r="H549" s="13" t="s">
        <v>287</v>
      </c>
      <c r="I549" s="13" t="s">
        <v>288</v>
      </c>
      <c r="J549" s="13">
        <v>104550</v>
      </c>
      <c r="K549" s="13" t="s">
        <v>289</v>
      </c>
      <c r="L549" s="13" t="s">
        <v>18</v>
      </c>
      <c r="M549" s="10" t="str">
        <f>K549 &amp; " " &amp; I549</f>
        <v>Khalifa Justine</v>
      </c>
      <c r="Q549" t="str">
        <f t="shared" si="48"/>
        <v>104550jkhalifa</v>
      </c>
    </row>
    <row r="550" spans="1:17" hidden="1" x14ac:dyDescent="0.4">
      <c r="A550">
        <v>658</v>
      </c>
      <c r="B550" s="2"/>
      <c r="C550" s="4">
        <v>45908</v>
      </c>
      <c r="D550" s="5">
        <v>0.375</v>
      </c>
      <c r="E550" s="5">
        <v>0.4375</v>
      </c>
      <c r="F550" s="2" t="s">
        <v>9</v>
      </c>
      <c r="G550" s="2" t="s">
        <v>10</v>
      </c>
      <c r="H550" s="2" t="s">
        <v>287</v>
      </c>
      <c r="I550" s="2" t="s">
        <v>288</v>
      </c>
      <c r="J550" s="2">
        <v>102916</v>
      </c>
      <c r="K550" s="2" t="s">
        <v>289</v>
      </c>
      <c r="L550" s="2" t="s">
        <v>14</v>
      </c>
      <c r="M550" t="str">
        <f>K550 &amp; " " &amp; I550</f>
        <v>Khalifa Justine</v>
      </c>
      <c r="Q550" t="str">
        <f t="shared" si="48"/>
        <v>102916jkhalifa</v>
      </c>
    </row>
    <row r="551" spans="1:17" hidden="1" x14ac:dyDescent="0.4">
      <c r="A551">
        <v>659</v>
      </c>
      <c r="B551" s="2"/>
      <c r="C551" s="4">
        <v>45909</v>
      </c>
      <c r="D551" s="5">
        <v>0.39583333333333331</v>
      </c>
      <c r="E551" s="5">
        <v>0.47916666666666669</v>
      </c>
      <c r="F551" s="2" t="s">
        <v>9</v>
      </c>
      <c r="G551" s="2" t="s">
        <v>10</v>
      </c>
      <c r="H551" s="2" t="s">
        <v>116</v>
      </c>
      <c r="I551" s="2" t="s">
        <v>117</v>
      </c>
      <c r="J551" s="2">
        <v>104959</v>
      </c>
      <c r="K551" s="2" t="s">
        <v>118</v>
      </c>
      <c r="L551" s="2" t="s">
        <v>18</v>
      </c>
      <c r="M551" t="str">
        <f>I551 &amp; " " &amp; K551</f>
        <v>Clovis Tallet</v>
      </c>
      <c r="Q551" t="str">
        <f t="shared" si="48"/>
        <v>104959ctallet1</v>
      </c>
    </row>
    <row r="552" spans="1:17" hidden="1" x14ac:dyDescent="0.4">
      <c r="A552">
        <v>660</v>
      </c>
      <c r="B552" s="2"/>
      <c r="C552" s="4">
        <v>45909</v>
      </c>
      <c r="D552" s="5">
        <v>0.39583333333333331</v>
      </c>
      <c r="E552" s="5">
        <v>0.47916666666666669</v>
      </c>
      <c r="F552" s="2" t="s">
        <v>9</v>
      </c>
      <c r="G552" s="2" t="s">
        <v>10</v>
      </c>
      <c r="H552" s="2" t="s">
        <v>592</v>
      </c>
      <c r="I552" s="2" t="s">
        <v>593</v>
      </c>
      <c r="J552" s="2">
        <v>104959</v>
      </c>
      <c r="K552" s="2" t="s">
        <v>594</v>
      </c>
      <c r="L552" s="2" t="s">
        <v>14</v>
      </c>
      <c r="M552" t="str">
        <f t="shared" ref="M552:M561" si="49">K552 &amp; " " &amp; I552</f>
        <v>Te Chin William</v>
      </c>
      <c r="Q552" t="str">
        <f t="shared" si="48"/>
        <v>104959wtechin</v>
      </c>
    </row>
    <row r="553" spans="1:17" hidden="1" x14ac:dyDescent="0.4">
      <c r="A553">
        <v>661</v>
      </c>
      <c r="B553" s="2"/>
      <c r="C553" s="4">
        <v>45909</v>
      </c>
      <c r="D553" s="5">
        <v>0.39583333333333331</v>
      </c>
      <c r="E553" s="5">
        <v>0.47916666666666669</v>
      </c>
      <c r="F553" s="2" t="s">
        <v>9</v>
      </c>
      <c r="G553" s="2" t="s">
        <v>10</v>
      </c>
      <c r="H553" s="2" t="s">
        <v>250</v>
      </c>
      <c r="I553" s="2" t="s">
        <v>251</v>
      </c>
      <c r="J553" s="2">
        <v>104959</v>
      </c>
      <c r="K553" s="2" t="s">
        <v>252</v>
      </c>
      <c r="L553" s="2" t="s">
        <v>14</v>
      </c>
      <c r="M553" t="str">
        <f t="shared" si="49"/>
        <v>Terekhanov Ivan</v>
      </c>
      <c r="Q553" t="str">
        <f t="shared" si="48"/>
        <v>104959iterekhanov</v>
      </c>
    </row>
    <row r="554" spans="1:17" hidden="1" x14ac:dyDescent="0.4">
      <c r="A554">
        <v>662</v>
      </c>
      <c r="B554" s="2"/>
      <c r="C554" s="4">
        <v>45908</v>
      </c>
      <c r="D554" s="5">
        <v>0.66666666666666663</v>
      </c>
      <c r="E554" s="5">
        <v>0.72916666666666663</v>
      </c>
      <c r="F554" s="2" t="s">
        <v>9</v>
      </c>
      <c r="G554" s="2" t="s">
        <v>10</v>
      </c>
      <c r="H554" s="2" t="s">
        <v>517</v>
      </c>
      <c r="I554" s="2" t="s">
        <v>518</v>
      </c>
      <c r="J554" s="2">
        <v>104855</v>
      </c>
      <c r="K554" s="2" t="s">
        <v>367</v>
      </c>
      <c r="L554" s="2" t="s">
        <v>14</v>
      </c>
      <c r="M554" t="str">
        <f t="shared" si="49"/>
        <v>Kim Seohyeon</v>
      </c>
      <c r="Q554" t="str">
        <f t="shared" si="48"/>
        <v>104855skim4</v>
      </c>
    </row>
    <row r="555" spans="1:17" hidden="1" x14ac:dyDescent="0.4">
      <c r="A555">
        <v>663</v>
      </c>
      <c r="B555" s="2"/>
      <c r="C555" s="4">
        <v>45908</v>
      </c>
      <c r="D555" s="5">
        <v>0.66666666666666663</v>
      </c>
      <c r="E555" s="5">
        <v>0.72916666666666663</v>
      </c>
      <c r="F555" s="2" t="s">
        <v>9</v>
      </c>
      <c r="G555" s="2" t="s">
        <v>10</v>
      </c>
      <c r="H555" s="2" t="s">
        <v>365</v>
      </c>
      <c r="I555" s="2" t="s">
        <v>366</v>
      </c>
      <c r="J555" s="2">
        <v>104855</v>
      </c>
      <c r="K555" s="2" t="s">
        <v>367</v>
      </c>
      <c r="L555" s="2" t="s">
        <v>18</v>
      </c>
      <c r="M555" t="str">
        <f t="shared" si="49"/>
        <v>Kim Minjae</v>
      </c>
      <c r="Q555" t="str">
        <f t="shared" si="48"/>
        <v>104855mkim</v>
      </c>
    </row>
    <row r="556" spans="1:17" hidden="1" x14ac:dyDescent="0.4">
      <c r="A556">
        <v>666</v>
      </c>
      <c r="B556" s="2"/>
      <c r="C556" s="4">
        <v>45908</v>
      </c>
      <c r="D556" s="5">
        <v>0.58333333333333337</v>
      </c>
      <c r="E556" s="5">
        <v>0.64583333333333337</v>
      </c>
      <c r="F556" s="2" t="s">
        <v>9</v>
      </c>
      <c r="G556" s="2" t="s">
        <v>10</v>
      </c>
      <c r="H556" s="2" t="s">
        <v>517</v>
      </c>
      <c r="I556" s="2" t="s">
        <v>518</v>
      </c>
      <c r="J556" s="2">
        <v>104551</v>
      </c>
      <c r="K556" s="2" t="s">
        <v>367</v>
      </c>
      <c r="L556" s="2" t="s">
        <v>14</v>
      </c>
      <c r="M556" t="str">
        <f t="shared" si="49"/>
        <v>Kim Seohyeon</v>
      </c>
      <c r="Q556" t="str">
        <f t="shared" si="48"/>
        <v>104551skim4</v>
      </c>
    </row>
    <row r="557" spans="1:17" hidden="1" x14ac:dyDescent="0.4">
      <c r="A557">
        <v>667</v>
      </c>
      <c r="B557" s="2"/>
      <c r="C557" s="4">
        <v>45908</v>
      </c>
      <c r="D557" s="5">
        <v>0.58333333333333337</v>
      </c>
      <c r="E557" s="5">
        <v>0.64583333333333337</v>
      </c>
      <c r="F557" s="2" t="s">
        <v>9</v>
      </c>
      <c r="G557" s="2" t="s">
        <v>10</v>
      </c>
      <c r="H557" s="2" t="s">
        <v>365</v>
      </c>
      <c r="I557" s="2" t="s">
        <v>366</v>
      </c>
      <c r="J557" s="2">
        <v>104551</v>
      </c>
      <c r="K557" s="2" t="s">
        <v>367</v>
      </c>
      <c r="L557" s="2" t="s">
        <v>18</v>
      </c>
      <c r="M557" t="str">
        <f t="shared" si="49"/>
        <v>Kim Minjae</v>
      </c>
      <c r="Q557" t="str">
        <f t="shared" si="48"/>
        <v>104551mkim</v>
      </c>
    </row>
    <row r="558" spans="1:17" hidden="1" x14ac:dyDescent="0.4">
      <c r="A558">
        <v>668</v>
      </c>
      <c r="B558" s="2"/>
      <c r="C558" s="4">
        <v>45908</v>
      </c>
      <c r="D558" s="5">
        <v>0.47916666666666669</v>
      </c>
      <c r="E558" s="5">
        <v>0.54166666666666663</v>
      </c>
      <c r="F558" s="2" t="s">
        <v>9</v>
      </c>
      <c r="G558" s="2" t="s">
        <v>10</v>
      </c>
      <c r="H558" s="2" t="s">
        <v>517</v>
      </c>
      <c r="I558" s="2" t="s">
        <v>518</v>
      </c>
      <c r="J558" s="2">
        <v>104550</v>
      </c>
      <c r="K558" s="2" t="s">
        <v>367</v>
      </c>
      <c r="L558" s="2" t="s">
        <v>14</v>
      </c>
      <c r="M558" t="str">
        <f t="shared" si="49"/>
        <v>Kim Seohyeon</v>
      </c>
      <c r="Q558" t="str">
        <f t="shared" si="48"/>
        <v>104550skim4</v>
      </c>
    </row>
    <row r="559" spans="1:17" hidden="1" x14ac:dyDescent="0.4">
      <c r="A559">
        <v>669</v>
      </c>
      <c r="B559" s="2"/>
      <c r="C559" s="4">
        <v>45908</v>
      </c>
      <c r="D559" s="5">
        <v>0.47916666666666669</v>
      </c>
      <c r="E559" s="5">
        <v>0.54166666666666663</v>
      </c>
      <c r="F559" s="2" t="s">
        <v>9</v>
      </c>
      <c r="G559" s="2" t="s">
        <v>10</v>
      </c>
      <c r="H559" s="2" t="s">
        <v>365</v>
      </c>
      <c r="I559" s="2" t="s">
        <v>366</v>
      </c>
      <c r="J559" s="2">
        <v>104550</v>
      </c>
      <c r="K559" s="2" t="s">
        <v>367</v>
      </c>
      <c r="L559" s="2" t="s">
        <v>18</v>
      </c>
      <c r="M559" t="str">
        <f t="shared" si="49"/>
        <v>Kim Minjae</v>
      </c>
      <c r="Q559" t="str">
        <f t="shared" si="48"/>
        <v>104550mkim</v>
      </c>
    </row>
    <row r="560" spans="1:17" hidden="1" x14ac:dyDescent="0.4">
      <c r="A560">
        <v>670</v>
      </c>
      <c r="B560" s="2"/>
      <c r="C560" s="4">
        <v>45908</v>
      </c>
      <c r="D560" s="5">
        <v>0.375</v>
      </c>
      <c r="E560" s="5">
        <v>0.4375</v>
      </c>
      <c r="F560" s="2" t="s">
        <v>9</v>
      </c>
      <c r="G560" s="2" t="s">
        <v>10</v>
      </c>
      <c r="H560" s="2" t="s">
        <v>517</v>
      </c>
      <c r="I560" s="2" t="s">
        <v>518</v>
      </c>
      <c r="J560" s="2">
        <v>102916</v>
      </c>
      <c r="K560" s="2" t="s">
        <v>367</v>
      </c>
      <c r="L560" s="2" t="s">
        <v>14</v>
      </c>
      <c r="M560" t="str">
        <f t="shared" si="49"/>
        <v>Kim Seohyeon</v>
      </c>
      <c r="Q560" t="str">
        <f t="shared" si="48"/>
        <v>102916skim4</v>
      </c>
    </row>
    <row r="561" spans="1:17" hidden="1" x14ac:dyDescent="0.4">
      <c r="A561">
        <v>671</v>
      </c>
      <c r="B561" s="2"/>
      <c r="C561" s="4">
        <v>45908</v>
      </c>
      <c r="D561" s="5">
        <v>0.375</v>
      </c>
      <c r="E561" s="5">
        <v>0.4375</v>
      </c>
      <c r="F561" s="2" t="s">
        <v>9</v>
      </c>
      <c r="G561" s="2" t="s">
        <v>10</v>
      </c>
      <c r="H561" s="2" t="s">
        <v>365</v>
      </c>
      <c r="I561" s="2" t="s">
        <v>366</v>
      </c>
      <c r="J561" s="2">
        <v>102916</v>
      </c>
      <c r="K561" s="2" t="s">
        <v>367</v>
      </c>
      <c r="L561" s="2" t="s">
        <v>18</v>
      </c>
      <c r="M561" t="str">
        <f t="shared" si="49"/>
        <v>Kim Minjae</v>
      </c>
      <c r="Q561" t="str">
        <f t="shared" si="48"/>
        <v>102916mkim</v>
      </c>
    </row>
    <row r="562" spans="1:17" hidden="1" x14ac:dyDescent="0.4">
      <c r="A562">
        <v>672</v>
      </c>
      <c r="B562" s="2"/>
      <c r="C562" s="4">
        <v>45909</v>
      </c>
      <c r="D562" s="5">
        <v>0.39583333333333331</v>
      </c>
      <c r="E562" s="5">
        <v>0.47916666666666669</v>
      </c>
      <c r="F562" s="2" t="s">
        <v>9</v>
      </c>
      <c r="G562" s="2" t="s">
        <v>10</v>
      </c>
      <c r="H562" s="2" t="s">
        <v>545</v>
      </c>
      <c r="I562" s="2" t="s">
        <v>546</v>
      </c>
      <c r="J562" s="2">
        <v>104959</v>
      </c>
      <c r="K562" s="2" t="s">
        <v>547</v>
      </c>
      <c r="L562" s="2" t="s">
        <v>18</v>
      </c>
      <c r="M562" t="str">
        <f t="shared" ref="M562:M568" si="50">I562 &amp; " " &amp; K562</f>
        <v>Stan Théodas</v>
      </c>
      <c r="Q562" t="str">
        <f t="shared" si="48"/>
        <v>104959stheodas</v>
      </c>
    </row>
    <row r="563" spans="1:17" hidden="1" x14ac:dyDescent="0.4">
      <c r="A563">
        <v>673</v>
      </c>
      <c r="B563" s="2"/>
      <c r="C563" s="4">
        <v>45909</v>
      </c>
      <c r="D563" s="5">
        <v>0.39583333333333331</v>
      </c>
      <c r="E563" s="5">
        <v>0.47916666666666669</v>
      </c>
      <c r="F563" s="2" t="s">
        <v>9</v>
      </c>
      <c r="G563" s="2" t="s">
        <v>10</v>
      </c>
      <c r="H563" s="2" t="s">
        <v>87</v>
      </c>
      <c r="I563" s="2" t="s">
        <v>88</v>
      </c>
      <c r="J563" s="2">
        <v>104959</v>
      </c>
      <c r="K563" s="2" t="s">
        <v>89</v>
      </c>
      <c r="L563" s="2" t="s">
        <v>18</v>
      </c>
      <c r="M563" t="str">
        <f t="shared" si="50"/>
        <v>Alice Thevenin</v>
      </c>
      <c r="Q563" t="str">
        <f t="shared" si="48"/>
        <v>104959athevenin</v>
      </c>
    </row>
    <row r="564" spans="1:17" hidden="1" x14ac:dyDescent="0.4">
      <c r="A564">
        <v>674</v>
      </c>
      <c r="B564" s="2"/>
      <c r="C564" s="4">
        <v>45909</v>
      </c>
      <c r="D564" s="5">
        <v>0.39583333333333331</v>
      </c>
      <c r="E564" s="5">
        <v>0.47916666666666669</v>
      </c>
      <c r="F564" s="2" t="s">
        <v>9</v>
      </c>
      <c r="G564" s="2" t="s">
        <v>10</v>
      </c>
      <c r="H564" s="2" t="s">
        <v>119</v>
      </c>
      <c r="I564" s="2" t="s">
        <v>120</v>
      </c>
      <c r="J564" s="2">
        <v>104959</v>
      </c>
      <c r="K564" s="2" t="s">
        <v>121</v>
      </c>
      <c r="L564" s="2" t="s">
        <v>18</v>
      </c>
      <c r="M564" t="str">
        <f t="shared" si="50"/>
        <v>Célestin Tissus</v>
      </c>
      <c r="Q564" t="str">
        <f t="shared" si="48"/>
        <v>104959ctissus</v>
      </c>
    </row>
    <row r="565" spans="1:17" hidden="1" x14ac:dyDescent="0.4">
      <c r="A565">
        <v>675</v>
      </c>
      <c r="B565" s="2"/>
      <c r="C565" s="4">
        <v>45908</v>
      </c>
      <c r="D565" s="5">
        <v>0.66666666666666663</v>
      </c>
      <c r="E565" s="5">
        <v>0.72916666666666663</v>
      </c>
      <c r="F565" s="2" t="s">
        <v>9</v>
      </c>
      <c r="G565" s="2" t="s">
        <v>10</v>
      </c>
      <c r="H565" s="2" t="s">
        <v>427</v>
      </c>
      <c r="I565" s="2" t="s">
        <v>425</v>
      </c>
      <c r="J565" s="2">
        <v>104855</v>
      </c>
      <c r="K565" s="2" t="s">
        <v>428</v>
      </c>
      <c r="L565" s="2" t="s">
        <v>18</v>
      </c>
      <c r="M565" t="str">
        <f t="shared" si="50"/>
        <v>Nils Kittel</v>
      </c>
      <c r="Q565" t="str">
        <f t="shared" si="48"/>
        <v>104855nkittel</v>
      </c>
    </row>
    <row r="566" spans="1:17" hidden="1" x14ac:dyDescent="0.4">
      <c r="A566">
        <v>677</v>
      </c>
      <c r="B566" s="2"/>
      <c r="C566" s="4">
        <v>45908</v>
      </c>
      <c r="D566" s="5">
        <v>0.58333333333333337</v>
      </c>
      <c r="E566" s="5">
        <v>0.64583333333333337</v>
      </c>
      <c r="F566" s="2" t="s">
        <v>9</v>
      </c>
      <c r="G566" s="2" t="s">
        <v>10</v>
      </c>
      <c r="H566" s="2" t="s">
        <v>427</v>
      </c>
      <c r="I566" s="2" t="s">
        <v>425</v>
      </c>
      <c r="J566" s="2">
        <v>104551</v>
      </c>
      <c r="K566" s="2" t="s">
        <v>428</v>
      </c>
      <c r="L566" s="2" t="s">
        <v>18</v>
      </c>
      <c r="M566" t="str">
        <f t="shared" si="50"/>
        <v>Nils Kittel</v>
      </c>
      <c r="Q566" t="str">
        <f t="shared" si="48"/>
        <v>104551nkittel</v>
      </c>
    </row>
    <row r="567" spans="1:17" hidden="1" x14ac:dyDescent="0.4">
      <c r="A567">
        <v>678</v>
      </c>
      <c r="B567" s="2"/>
      <c r="C567" s="4">
        <v>45908</v>
      </c>
      <c r="D567" s="5">
        <v>0.47916666666666669</v>
      </c>
      <c r="E567" s="5">
        <v>0.54166666666666663</v>
      </c>
      <c r="F567" s="2" t="s">
        <v>9</v>
      </c>
      <c r="G567" s="2" t="s">
        <v>10</v>
      </c>
      <c r="H567" s="2" t="s">
        <v>427</v>
      </c>
      <c r="I567" s="2" t="s">
        <v>425</v>
      </c>
      <c r="J567" s="2">
        <v>104550</v>
      </c>
      <c r="K567" s="2" t="s">
        <v>428</v>
      </c>
      <c r="L567" s="2" t="s">
        <v>18</v>
      </c>
      <c r="M567" t="str">
        <f t="shared" si="50"/>
        <v>Nils Kittel</v>
      </c>
      <c r="Q567" t="str">
        <f t="shared" si="48"/>
        <v>104550nkittel</v>
      </c>
    </row>
    <row r="568" spans="1:17" hidden="1" x14ac:dyDescent="0.4">
      <c r="A568">
        <v>679</v>
      </c>
      <c r="B568" s="2"/>
      <c r="C568" s="4">
        <v>45908</v>
      </c>
      <c r="D568" s="5">
        <v>0.375</v>
      </c>
      <c r="E568" s="5">
        <v>0.4375</v>
      </c>
      <c r="F568" s="2" t="s">
        <v>9</v>
      </c>
      <c r="G568" s="2" t="s">
        <v>10</v>
      </c>
      <c r="H568" s="2" t="s">
        <v>427</v>
      </c>
      <c r="I568" s="2" t="s">
        <v>425</v>
      </c>
      <c r="J568" s="2">
        <v>102916</v>
      </c>
      <c r="K568" s="2" t="s">
        <v>428</v>
      </c>
      <c r="L568" s="2" t="s">
        <v>18</v>
      </c>
      <c r="M568" t="str">
        <f t="shared" si="50"/>
        <v>Nils Kittel</v>
      </c>
      <c r="Q568" t="str">
        <f t="shared" si="48"/>
        <v>102916nkittel</v>
      </c>
    </row>
    <row r="569" spans="1:17" hidden="1" x14ac:dyDescent="0.4">
      <c r="A569">
        <v>680</v>
      </c>
      <c r="B569" s="2"/>
      <c r="C569" s="4">
        <v>45909</v>
      </c>
      <c r="D569" s="5">
        <v>0.39583333333333331</v>
      </c>
      <c r="E569" s="5">
        <v>0.47916666666666669</v>
      </c>
      <c r="F569" s="2" t="s">
        <v>9</v>
      </c>
      <c r="G569" s="2" t="s">
        <v>10</v>
      </c>
      <c r="H569" s="2" t="s">
        <v>90</v>
      </c>
      <c r="I569" s="2" t="s">
        <v>91</v>
      </c>
      <c r="J569" s="2">
        <v>104959</v>
      </c>
      <c r="K569" s="2" t="s">
        <v>92</v>
      </c>
      <c r="L569" s="2" t="s">
        <v>14</v>
      </c>
      <c r="M569" t="str">
        <f>K569 &amp; " " &amp; I569</f>
        <v>Torres Afonso</v>
      </c>
      <c r="Q569" t="str">
        <f t="shared" si="48"/>
        <v>104959atorres</v>
      </c>
    </row>
    <row r="570" spans="1:17" hidden="1" x14ac:dyDescent="0.4">
      <c r="A570">
        <v>681</v>
      </c>
      <c r="B570" s="2"/>
      <c r="C570" s="4">
        <v>45909</v>
      </c>
      <c r="D570" s="5">
        <v>0.39583333333333331</v>
      </c>
      <c r="E570" s="5">
        <v>0.47916666666666669</v>
      </c>
      <c r="F570" s="2" t="s">
        <v>9</v>
      </c>
      <c r="G570" s="2" t="s">
        <v>10</v>
      </c>
      <c r="H570" s="2" t="s">
        <v>409</v>
      </c>
      <c r="I570" s="2" t="s">
        <v>410</v>
      </c>
      <c r="J570" s="2">
        <v>104959</v>
      </c>
      <c r="K570" s="2" t="s">
        <v>411</v>
      </c>
      <c r="L570" s="2" t="s">
        <v>14</v>
      </c>
      <c r="M570" t="str">
        <f>K570 &amp; " " &amp; I570</f>
        <v>Ulrich Matéo</v>
      </c>
      <c r="Q570" t="str">
        <f t="shared" si="48"/>
        <v>104959mulrich</v>
      </c>
    </row>
    <row r="571" spans="1:17" hidden="1" x14ac:dyDescent="0.4">
      <c r="A571">
        <v>682</v>
      </c>
      <c r="B571" s="2"/>
      <c r="C571" s="4">
        <v>45908</v>
      </c>
      <c r="D571" s="5">
        <v>0.66666666666666663</v>
      </c>
      <c r="E571" s="5">
        <v>0.72916666666666663</v>
      </c>
      <c r="F571" s="2" t="s">
        <v>9</v>
      </c>
      <c r="G571" s="2" t="s">
        <v>10</v>
      </c>
      <c r="H571" s="2" t="s">
        <v>429</v>
      </c>
      <c r="I571" s="2" t="s">
        <v>430</v>
      </c>
      <c r="J571" s="2">
        <v>104855</v>
      </c>
      <c r="K571" s="2" t="s">
        <v>431</v>
      </c>
      <c r="L571" s="2" t="s">
        <v>18</v>
      </c>
      <c r="M571" t="str">
        <f>I571 &amp; " " &amp; K571</f>
        <v>Ninon Lancelot--Mahé</v>
      </c>
      <c r="Q571" t="str">
        <f t="shared" si="48"/>
        <v>104855nlancelotmahe</v>
      </c>
    </row>
    <row r="572" spans="1:17" hidden="1" x14ac:dyDescent="0.4">
      <c r="A572">
        <v>684</v>
      </c>
      <c r="B572" s="2"/>
      <c r="C572" s="4">
        <v>45908</v>
      </c>
      <c r="D572" s="5">
        <v>0.58333333333333337</v>
      </c>
      <c r="E572" s="5">
        <v>0.64583333333333337</v>
      </c>
      <c r="F572" s="2" t="s">
        <v>9</v>
      </c>
      <c r="G572" s="2" t="s">
        <v>10</v>
      </c>
      <c r="H572" s="2" t="s">
        <v>429</v>
      </c>
      <c r="I572" s="2" t="s">
        <v>430</v>
      </c>
      <c r="J572" s="2">
        <v>104551</v>
      </c>
      <c r="K572" s="2" t="s">
        <v>431</v>
      </c>
      <c r="L572" s="2" t="s">
        <v>18</v>
      </c>
      <c r="M572" t="str">
        <f t="shared" ref="M572:M577" si="51">I572 &amp; " " &amp; K572</f>
        <v>Ninon Lancelot--Mahé</v>
      </c>
      <c r="Q572" t="str">
        <f t="shared" si="48"/>
        <v>104551nlancelotmahe</v>
      </c>
    </row>
    <row r="573" spans="1:17" hidden="1" x14ac:dyDescent="0.4">
      <c r="A573">
        <v>685</v>
      </c>
      <c r="B573" s="2"/>
      <c r="C573" s="4">
        <v>45908</v>
      </c>
      <c r="D573" s="5">
        <v>0.47916666666666669</v>
      </c>
      <c r="E573" s="5">
        <v>0.54166666666666663</v>
      </c>
      <c r="F573" s="2" t="s">
        <v>9</v>
      </c>
      <c r="G573" s="2" t="s">
        <v>10</v>
      </c>
      <c r="H573" s="2" t="s">
        <v>429</v>
      </c>
      <c r="I573" s="2" t="s">
        <v>430</v>
      </c>
      <c r="J573" s="2">
        <v>104550</v>
      </c>
      <c r="K573" s="2" t="s">
        <v>431</v>
      </c>
      <c r="L573" s="2" t="s">
        <v>18</v>
      </c>
      <c r="M573" t="str">
        <f t="shared" si="51"/>
        <v>Ninon Lancelot--Mahé</v>
      </c>
      <c r="Q573" t="str">
        <f t="shared" si="48"/>
        <v>104550nlancelotmahe</v>
      </c>
    </row>
    <row r="574" spans="1:17" hidden="1" x14ac:dyDescent="0.4">
      <c r="A574">
        <v>686</v>
      </c>
      <c r="B574" s="2"/>
      <c r="C574" s="4">
        <v>45908</v>
      </c>
      <c r="D574" s="5">
        <v>0.375</v>
      </c>
      <c r="E574" s="5">
        <v>0.4375</v>
      </c>
      <c r="F574" s="2" t="s">
        <v>9</v>
      </c>
      <c r="G574" s="2" t="s">
        <v>10</v>
      </c>
      <c r="H574" s="2" t="s">
        <v>429</v>
      </c>
      <c r="I574" s="2" t="s">
        <v>430</v>
      </c>
      <c r="J574" s="2">
        <v>102916</v>
      </c>
      <c r="K574" s="2" t="s">
        <v>431</v>
      </c>
      <c r="L574" s="2" t="s">
        <v>18</v>
      </c>
      <c r="M574" t="str">
        <f t="shared" si="51"/>
        <v>Ninon Lancelot--Mahé</v>
      </c>
      <c r="Q574" t="str">
        <f t="shared" si="48"/>
        <v>102916nlancelotmahe</v>
      </c>
    </row>
    <row r="575" spans="1:17" hidden="1" x14ac:dyDescent="0.4">
      <c r="A575">
        <v>687</v>
      </c>
      <c r="B575" s="2"/>
      <c r="C575" s="4">
        <v>45909</v>
      </c>
      <c r="D575" s="5">
        <v>0.39583333333333331</v>
      </c>
      <c r="E575" s="5">
        <v>0.47916666666666669</v>
      </c>
      <c r="F575" s="2" t="s">
        <v>9</v>
      </c>
      <c r="G575" s="2" t="s">
        <v>10</v>
      </c>
      <c r="H575" s="2" t="s">
        <v>253</v>
      </c>
      <c r="I575" s="2" t="s">
        <v>251</v>
      </c>
      <c r="J575" s="2">
        <v>104959</v>
      </c>
      <c r="K575" s="2" t="s">
        <v>254</v>
      </c>
      <c r="L575" s="2" t="s">
        <v>18</v>
      </c>
      <c r="M575" t="str">
        <f t="shared" si="51"/>
        <v>Ivan Valem</v>
      </c>
      <c r="Q575" t="str">
        <f t="shared" si="48"/>
        <v>104959ivalem</v>
      </c>
    </row>
    <row r="576" spans="1:17" hidden="1" x14ac:dyDescent="0.4">
      <c r="A576">
        <v>688</v>
      </c>
      <c r="B576" s="2"/>
      <c r="C576" s="4">
        <v>45909</v>
      </c>
      <c r="D576" s="5">
        <v>0.39583333333333331</v>
      </c>
      <c r="E576" s="5">
        <v>0.47916666666666669</v>
      </c>
      <c r="F576" s="2" t="s">
        <v>9</v>
      </c>
      <c r="G576" s="2" t="s">
        <v>10</v>
      </c>
      <c r="H576" s="2" t="s">
        <v>412</v>
      </c>
      <c r="I576" s="2" t="s">
        <v>413</v>
      </c>
      <c r="J576" s="2">
        <v>104959</v>
      </c>
      <c r="K576" s="2" t="s">
        <v>414</v>
      </c>
      <c r="L576" s="2" t="s">
        <v>18</v>
      </c>
      <c r="M576" t="str">
        <f t="shared" si="51"/>
        <v>Marius Valero</v>
      </c>
      <c r="Q576" t="str">
        <f t="shared" si="48"/>
        <v>104959mvalero</v>
      </c>
    </row>
    <row r="577" spans="1:17" hidden="1" x14ac:dyDescent="0.4">
      <c r="A577">
        <v>689</v>
      </c>
      <c r="B577" s="2"/>
      <c r="C577" s="4">
        <v>45908</v>
      </c>
      <c r="D577" s="5">
        <v>0.66666666666666663</v>
      </c>
      <c r="E577" s="5">
        <v>0.72916666666666663</v>
      </c>
      <c r="F577" s="2" t="s">
        <v>9</v>
      </c>
      <c r="G577" s="2" t="s">
        <v>10</v>
      </c>
      <c r="H577" s="2" t="s">
        <v>519</v>
      </c>
      <c r="I577" s="2" t="s">
        <v>520</v>
      </c>
      <c r="J577" s="2">
        <v>104855</v>
      </c>
      <c r="K577" s="2" t="s">
        <v>521</v>
      </c>
      <c r="L577" s="2" t="s">
        <v>18</v>
      </c>
      <c r="M577" t="str">
        <f t="shared" si="51"/>
        <v>Sacha Laquay--Eudine</v>
      </c>
      <c r="Q577" t="str">
        <f t="shared" si="48"/>
        <v>104855slaquayeudine</v>
      </c>
    </row>
    <row r="578" spans="1:17" hidden="1" x14ac:dyDescent="0.4">
      <c r="A578">
        <v>691</v>
      </c>
      <c r="B578" s="2"/>
      <c r="C578" s="4">
        <v>45908</v>
      </c>
      <c r="D578" s="5">
        <v>0.58333333333333337</v>
      </c>
      <c r="E578" s="5">
        <v>0.64583333333333337</v>
      </c>
      <c r="F578" s="2" t="s">
        <v>9</v>
      </c>
      <c r="G578" s="2" t="s">
        <v>10</v>
      </c>
      <c r="H578" s="2" t="s">
        <v>519</v>
      </c>
      <c r="I578" s="2" t="s">
        <v>520</v>
      </c>
      <c r="J578" s="2">
        <v>104551</v>
      </c>
      <c r="K578" s="2" t="s">
        <v>521</v>
      </c>
      <c r="L578" s="2" t="s">
        <v>18</v>
      </c>
      <c r="M578" t="str">
        <f>I578 &amp; " " &amp; K578</f>
        <v>Sacha Laquay--Eudine</v>
      </c>
      <c r="Q578" t="str">
        <f t="shared" si="48"/>
        <v>104551slaquayeudine</v>
      </c>
    </row>
    <row r="579" spans="1:17" hidden="1" x14ac:dyDescent="0.4">
      <c r="A579">
        <v>692</v>
      </c>
      <c r="B579" s="2"/>
      <c r="C579" s="4">
        <v>45908</v>
      </c>
      <c r="D579" s="5">
        <v>0.47916666666666669</v>
      </c>
      <c r="E579" s="5">
        <v>0.54166666666666663</v>
      </c>
      <c r="F579" s="2" t="s">
        <v>9</v>
      </c>
      <c r="G579" s="2" t="s">
        <v>10</v>
      </c>
      <c r="H579" s="2" t="s">
        <v>519</v>
      </c>
      <c r="I579" s="2" t="s">
        <v>520</v>
      </c>
      <c r="J579" s="2">
        <v>104550</v>
      </c>
      <c r="K579" s="2" t="s">
        <v>521</v>
      </c>
      <c r="L579" s="2" t="s">
        <v>18</v>
      </c>
      <c r="M579" t="str">
        <f>I579 &amp; " " &amp; K579</f>
        <v>Sacha Laquay--Eudine</v>
      </c>
      <c r="Q579" t="str">
        <f t="shared" si="48"/>
        <v>104550slaquayeudine</v>
      </c>
    </row>
    <row r="580" spans="1:17" hidden="1" x14ac:dyDescent="0.4">
      <c r="A580">
        <v>693</v>
      </c>
      <c r="B580" s="2"/>
      <c r="C580" s="4">
        <v>45908</v>
      </c>
      <c r="D580" s="5">
        <v>0.375</v>
      </c>
      <c r="E580" s="5">
        <v>0.4375</v>
      </c>
      <c r="F580" s="2" t="s">
        <v>9</v>
      </c>
      <c r="G580" s="2" t="s">
        <v>10</v>
      </c>
      <c r="H580" s="2" t="s">
        <v>519</v>
      </c>
      <c r="I580" s="2" t="s">
        <v>520</v>
      </c>
      <c r="J580" s="2">
        <v>102916</v>
      </c>
      <c r="K580" s="2" t="s">
        <v>521</v>
      </c>
      <c r="L580" s="2" t="s">
        <v>18</v>
      </c>
      <c r="M580" t="str">
        <f>K580 &amp; " " &amp; I580</f>
        <v>Laquay--Eudine Sacha</v>
      </c>
      <c r="Q580" t="str">
        <f t="shared" si="48"/>
        <v>102916slaquayeudine</v>
      </c>
    </row>
    <row r="581" spans="1:17" hidden="1" x14ac:dyDescent="0.4">
      <c r="A581">
        <v>694</v>
      </c>
      <c r="B581" s="2"/>
      <c r="C581" s="4">
        <v>45909</v>
      </c>
      <c r="D581" s="5">
        <v>0.39583333333333331</v>
      </c>
      <c r="E581" s="5">
        <v>0.47916666666666669</v>
      </c>
      <c r="F581" s="2" t="s">
        <v>9</v>
      </c>
      <c r="G581" s="2" t="s">
        <v>10</v>
      </c>
      <c r="H581" s="2" t="s">
        <v>122</v>
      </c>
      <c r="I581" s="2" t="s">
        <v>123</v>
      </c>
      <c r="J581" s="2">
        <v>104959</v>
      </c>
      <c r="K581" s="2" t="s">
        <v>124</v>
      </c>
      <c r="L581" s="2" t="s">
        <v>14</v>
      </c>
      <c r="M581" t="str">
        <f>K581 &amp; " " &amp; I581</f>
        <v>Valla Pesendorfer Camille</v>
      </c>
      <c r="Q581" t="str">
        <f t="shared" si="48"/>
        <v>104959cvallapesendorfer</v>
      </c>
    </row>
    <row r="582" spans="1:17" hidden="1" x14ac:dyDescent="0.4">
      <c r="A582">
        <v>695</v>
      </c>
      <c r="B582" s="2"/>
      <c r="C582" s="4">
        <v>45909</v>
      </c>
      <c r="D582" s="5">
        <v>0.39583333333333331</v>
      </c>
      <c r="E582" s="5">
        <v>0.47916666666666669</v>
      </c>
      <c r="F582" s="2" t="s">
        <v>9</v>
      </c>
      <c r="G582" s="2" t="s">
        <v>10</v>
      </c>
      <c r="H582" s="2" t="s">
        <v>222</v>
      </c>
      <c r="I582" s="2" t="s">
        <v>213</v>
      </c>
      <c r="J582" s="2">
        <v>104959</v>
      </c>
      <c r="K582" s="2" t="s">
        <v>223</v>
      </c>
      <c r="L582" s="2" t="s">
        <v>18</v>
      </c>
      <c r="M582" t="str">
        <f>I582 &amp; " " &amp; K582</f>
        <v>Guillaume Vandenbroucque</v>
      </c>
      <c r="Q582" t="str">
        <f t="shared" si="48"/>
        <v>104959gvandenbroucque</v>
      </c>
    </row>
    <row r="583" spans="1:17" hidden="1" x14ac:dyDescent="0.4">
      <c r="A583">
        <v>696</v>
      </c>
      <c r="B583" s="2"/>
      <c r="C583" s="4">
        <v>45908</v>
      </c>
      <c r="D583" s="5">
        <v>0.66666666666666663</v>
      </c>
      <c r="E583" s="5">
        <v>0.72916666666666663</v>
      </c>
      <c r="F583" s="2" t="s">
        <v>9</v>
      </c>
      <c r="G583" s="2" t="s">
        <v>10</v>
      </c>
      <c r="H583" s="2" t="s">
        <v>432</v>
      </c>
      <c r="I583" s="2" t="s">
        <v>433</v>
      </c>
      <c r="J583" s="2">
        <v>104855</v>
      </c>
      <c r="K583" s="2" t="s">
        <v>434</v>
      </c>
      <c r="L583" s="2" t="s">
        <v>18</v>
      </c>
      <c r="M583" t="str">
        <f>I583 &amp; " " &amp; K583</f>
        <v>Noémie Lastère</v>
      </c>
      <c r="Q583" t="str">
        <f t="shared" si="48"/>
        <v>104855nlastere</v>
      </c>
    </row>
    <row r="584" spans="1:17" hidden="1" x14ac:dyDescent="0.4">
      <c r="A584">
        <v>698</v>
      </c>
      <c r="B584" s="2"/>
      <c r="C584" s="4">
        <v>45908</v>
      </c>
      <c r="D584" s="5">
        <v>0.58333333333333337</v>
      </c>
      <c r="E584" s="5">
        <v>0.64583333333333337</v>
      </c>
      <c r="F584" s="2" t="s">
        <v>9</v>
      </c>
      <c r="G584" s="2" t="s">
        <v>10</v>
      </c>
      <c r="H584" s="2" t="s">
        <v>432</v>
      </c>
      <c r="I584" s="2" t="s">
        <v>433</v>
      </c>
      <c r="J584" s="2">
        <v>104551</v>
      </c>
      <c r="K584" s="2" t="s">
        <v>434</v>
      </c>
      <c r="L584" s="2" t="s">
        <v>18</v>
      </c>
      <c r="M584" t="str">
        <f>I584 &amp; " " &amp; K584</f>
        <v>Noémie Lastère</v>
      </c>
      <c r="Q584" t="str">
        <f t="shared" si="48"/>
        <v>104551nlastere</v>
      </c>
    </row>
    <row r="585" spans="1:17" hidden="1" x14ac:dyDescent="0.4">
      <c r="A585">
        <v>699</v>
      </c>
      <c r="B585" s="2"/>
      <c r="C585" s="4">
        <v>45908</v>
      </c>
      <c r="D585" s="5">
        <v>0.47916666666666669</v>
      </c>
      <c r="E585" s="5">
        <v>0.54166666666666663</v>
      </c>
      <c r="F585" s="2" t="s">
        <v>9</v>
      </c>
      <c r="G585" s="2" t="s">
        <v>10</v>
      </c>
      <c r="H585" s="2" t="s">
        <v>432</v>
      </c>
      <c r="I585" s="2" t="s">
        <v>433</v>
      </c>
      <c r="J585" s="2">
        <v>104550</v>
      </c>
      <c r="K585" s="2" t="s">
        <v>434</v>
      </c>
      <c r="L585" s="2" t="s">
        <v>18</v>
      </c>
      <c r="M585" t="str">
        <f>I585 &amp; " " &amp; K585</f>
        <v>Noémie Lastère</v>
      </c>
      <c r="Q585" t="str">
        <f t="shared" si="48"/>
        <v>104550nlastere</v>
      </c>
    </row>
    <row r="586" spans="1:17" hidden="1" x14ac:dyDescent="0.4">
      <c r="A586">
        <v>700</v>
      </c>
      <c r="B586" s="2"/>
      <c r="C586" s="4">
        <v>45908</v>
      </c>
      <c r="D586" s="5">
        <v>0.375</v>
      </c>
      <c r="E586" s="5">
        <v>0.4375</v>
      </c>
      <c r="F586" s="2" t="s">
        <v>9</v>
      </c>
      <c r="G586" s="2" t="s">
        <v>10</v>
      </c>
      <c r="H586" s="2" t="s">
        <v>432</v>
      </c>
      <c r="I586" s="2" t="s">
        <v>433</v>
      </c>
      <c r="J586" s="2">
        <v>102916</v>
      </c>
      <c r="K586" s="2" t="s">
        <v>434</v>
      </c>
      <c r="L586" s="2" t="s">
        <v>18</v>
      </c>
      <c r="M586" t="str">
        <f>K586 &amp; " " &amp; I586</f>
        <v>Lastère Noémie</v>
      </c>
      <c r="Q586" t="str">
        <f t="shared" si="48"/>
        <v>102916nlastere</v>
      </c>
    </row>
    <row r="587" spans="1:17" hidden="1" x14ac:dyDescent="0.4">
      <c r="A587">
        <v>701</v>
      </c>
      <c r="B587" s="2"/>
      <c r="C587" s="4">
        <v>45909</v>
      </c>
      <c r="D587" s="5">
        <v>0.39583333333333331</v>
      </c>
      <c r="E587" s="5">
        <v>0.47916666666666669</v>
      </c>
      <c r="F587" s="2" t="s">
        <v>9</v>
      </c>
      <c r="G587" s="2" t="s">
        <v>10</v>
      </c>
      <c r="H587" s="2" t="s">
        <v>343</v>
      </c>
      <c r="I587" s="2" t="s">
        <v>318</v>
      </c>
      <c r="J587" s="2">
        <v>104959</v>
      </c>
      <c r="K587" s="2" t="s">
        <v>344</v>
      </c>
      <c r="L587" s="2" t="s">
        <v>18</v>
      </c>
      <c r="M587" t="str">
        <f>I587 &amp; " " &amp; K587</f>
        <v>Louise Vandenhole</v>
      </c>
      <c r="Q587" t="str">
        <f t="shared" si="48"/>
        <v>104959lvandenhole</v>
      </c>
    </row>
    <row r="588" spans="1:17" hidden="1" x14ac:dyDescent="0.4">
      <c r="A588">
        <v>702</v>
      </c>
      <c r="B588" s="2"/>
      <c r="C588" s="4">
        <v>45909</v>
      </c>
      <c r="D588" s="5">
        <v>0.39583333333333331</v>
      </c>
      <c r="E588" s="5">
        <v>0.47916666666666669</v>
      </c>
      <c r="F588" s="2" t="s">
        <v>9</v>
      </c>
      <c r="G588" s="2" t="s">
        <v>10</v>
      </c>
      <c r="H588" s="2" t="s">
        <v>244</v>
      </c>
      <c r="I588" s="2" t="s">
        <v>245</v>
      </c>
      <c r="J588" s="2">
        <v>104959</v>
      </c>
      <c r="K588" s="2" t="s">
        <v>246</v>
      </c>
      <c r="L588" s="2" t="s">
        <v>14</v>
      </c>
      <c r="M588" t="str">
        <f t="shared" ref="M588:M593" si="52">K588 &amp; " " &amp; I588</f>
        <v>Vieuxmaire Héloïse</v>
      </c>
      <c r="Q588" t="str">
        <f t="shared" si="48"/>
        <v>104959hvieuxmaire</v>
      </c>
    </row>
    <row r="589" spans="1:17" hidden="1" x14ac:dyDescent="0.4">
      <c r="A589">
        <v>703</v>
      </c>
      <c r="B589" s="2"/>
      <c r="C589" s="4">
        <v>45908</v>
      </c>
      <c r="D589" s="5">
        <v>0.66666666666666663</v>
      </c>
      <c r="E589" s="5">
        <v>0.72916666666666663</v>
      </c>
      <c r="F589" s="2" t="s">
        <v>9</v>
      </c>
      <c r="G589" s="2" t="s">
        <v>10</v>
      </c>
      <c r="H589" s="2" t="s">
        <v>134</v>
      </c>
      <c r="I589" s="2" t="s">
        <v>135</v>
      </c>
      <c r="J589" s="2">
        <v>104855</v>
      </c>
      <c r="K589" s="2" t="s">
        <v>136</v>
      </c>
      <c r="L589" s="2" t="s">
        <v>14</v>
      </c>
      <c r="M589" t="str">
        <f t="shared" si="52"/>
        <v>Lau Dimitri</v>
      </c>
      <c r="Q589" t="str">
        <f t="shared" si="48"/>
        <v>104855dlau</v>
      </c>
    </row>
    <row r="590" spans="1:17" hidden="1" x14ac:dyDescent="0.4">
      <c r="A590">
        <v>705</v>
      </c>
      <c r="B590" s="2"/>
      <c r="C590" s="4">
        <v>45908</v>
      </c>
      <c r="D590" s="5">
        <v>0.58333333333333337</v>
      </c>
      <c r="E590" s="5">
        <v>0.64583333333333337</v>
      </c>
      <c r="F590" s="2" t="s">
        <v>9</v>
      </c>
      <c r="G590" s="2" t="s">
        <v>10</v>
      </c>
      <c r="H590" s="2" t="s">
        <v>134</v>
      </c>
      <c r="I590" s="2" t="s">
        <v>135</v>
      </c>
      <c r="J590" s="2">
        <v>104551</v>
      </c>
      <c r="K590" s="2" t="s">
        <v>136</v>
      </c>
      <c r="L590" s="2" t="s">
        <v>14</v>
      </c>
      <c r="M590" t="str">
        <f t="shared" si="52"/>
        <v>Lau Dimitri</v>
      </c>
      <c r="Q590" t="str">
        <f t="shared" si="48"/>
        <v>104551dlau</v>
      </c>
    </row>
    <row r="591" spans="1:17" hidden="1" x14ac:dyDescent="0.4">
      <c r="A591">
        <v>706</v>
      </c>
      <c r="B591" s="2"/>
      <c r="C591" s="4">
        <v>45908</v>
      </c>
      <c r="D591" s="5">
        <v>0.47916666666666669</v>
      </c>
      <c r="E591" s="5">
        <v>0.54166666666666663</v>
      </c>
      <c r="F591" s="2" t="s">
        <v>9</v>
      </c>
      <c r="G591" s="2" t="s">
        <v>10</v>
      </c>
      <c r="H591" s="2" t="s">
        <v>134</v>
      </c>
      <c r="I591" s="2" t="s">
        <v>135</v>
      </c>
      <c r="J591" s="2">
        <v>104550</v>
      </c>
      <c r="K591" s="2" t="s">
        <v>136</v>
      </c>
      <c r="L591" s="2" t="s">
        <v>14</v>
      </c>
      <c r="M591" t="str">
        <f t="shared" si="52"/>
        <v>Lau Dimitri</v>
      </c>
      <c r="Q591" t="str">
        <f t="shared" ref="Q591:Q644" si="53">J591&amp;H591</f>
        <v>104550dlau</v>
      </c>
    </row>
    <row r="592" spans="1:17" hidden="1" x14ac:dyDescent="0.4">
      <c r="A592">
        <v>707</v>
      </c>
      <c r="B592" s="2"/>
      <c r="C592" s="4">
        <v>45908</v>
      </c>
      <c r="D592" s="5">
        <v>0.375</v>
      </c>
      <c r="E592" s="5">
        <v>0.4375</v>
      </c>
      <c r="F592" s="2" t="s">
        <v>9</v>
      </c>
      <c r="G592" s="2" t="s">
        <v>10</v>
      </c>
      <c r="H592" s="2" t="s">
        <v>134</v>
      </c>
      <c r="I592" s="2" t="s">
        <v>135</v>
      </c>
      <c r="J592" s="2">
        <v>102916</v>
      </c>
      <c r="K592" s="2" t="s">
        <v>136</v>
      </c>
      <c r="L592" s="2" t="s">
        <v>14</v>
      </c>
      <c r="M592" t="str">
        <f t="shared" si="52"/>
        <v>Lau Dimitri</v>
      </c>
      <c r="Q592" t="str">
        <f t="shared" si="53"/>
        <v>102916dlau</v>
      </c>
    </row>
    <row r="593" spans="1:17" hidden="1" x14ac:dyDescent="0.4">
      <c r="A593">
        <v>708</v>
      </c>
      <c r="B593" s="2"/>
      <c r="C593" s="4">
        <v>45909</v>
      </c>
      <c r="D593" s="5">
        <v>0.39583333333333331</v>
      </c>
      <c r="E593" s="5">
        <v>0.47916666666666669</v>
      </c>
      <c r="F593" s="2" t="s">
        <v>9</v>
      </c>
      <c r="G593" s="2" t="s">
        <v>10</v>
      </c>
      <c r="H593" s="2" t="s">
        <v>415</v>
      </c>
      <c r="I593" s="2" t="s">
        <v>416</v>
      </c>
      <c r="J593" s="2">
        <v>104959</v>
      </c>
      <c r="K593" s="2" t="s">
        <v>417</v>
      </c>
      <c r="L593" s="2" t="s">
        <v>14</v>
      </c>
      <c r="M593" t="str">
        <f t="shared" si="52"/>
        <v>Vignier Mattéo</v>
      </c>
      <c r="Q593" t="str">
        <f t="shared" si="53"/>
        <v>104959mvignier</v>
      </c>
    </row>
    <row r="594" spans="1:17" hidden="1" x14ac:dyDescent="0.4">
      <c r="A594">
        <v>709</v>
      </c>
      <c r="B594" s="2"/>
      <c r="C594" s="4">
        <v>45909</v>
      </c>
      <c r="D594" s="5">
        <v>0.39583333333333331</v>
      </c>
      <c r="E594" s="5">
        <v>0.47916666666666669</v>
      </c>
      <c r="F594" s="2" t="s">
        <v>9</v>
      </c>
      <c r="G594" s="2" t="s">
        <v>10</v>
      </c>
      <c r="H594" s="2" t="s">
        <v>143</v>
      </c>
      <c r="I594" s="2" t="s">
        <v>141</v>
      </c>
      <c r="J594" s="2">
        <v>104959</v>
      </c>
      <c r="K594" s="2" t="s">
        <v>144</v>
      </c>
      <c r="L594" s="2" t="s">
        <v>18</v>
      </c>
      <c r="M594" t="str">
        <f>I594 &amp; " " &amp; K594</f>
        <v>David Wang</v>
      </c>
      <c r="Q594" t="str">
        <f t="shared" si="53"/>
        <v>104959dwang</v>
      </c>
    </row>
    <row r="595" spans="1:17" hidden="1" x14ac:dyDescent="0.4">
      <c r="A595">
        <v>710</v>
      </c>
      <c r="B595" s="2"/>
      <c r="C595" s="4">
        <v>45908</v>
      </c>
      <c r="D595" s="5">
        <v>0.66666666666666663</v>
      </c>
      <c r="E595" s="5">
        <v>0.72916666666666663</v>
      </c>
      <c r="F595" s="2" t="s">
        <v>9</v>
      </c>
      <c r="G595" s="2" t="s">
        <v>10</v>
      </c>
      <c r="H595" s="2" t="s">
        <v>368</v>
      </c>
      <c r="I595" s="2" t="s">
        <v>369</v>
      </c>
      <c r="J595" s="2">
        <v>104855</v>
      </c>
      <c r="K595" s="2" t="s">
        <v>370</v>
      </c>
      <c r="L595" s="2" t="s">
        <v>18</v>
      </c>
      <c r="M595" t="str">
        <f>I595 &amp; " " &amp; K595</f>
        <v>Maelys Lauriac</v>
      </c>
      <c r="Q595" t="str">
        <f t="shared" si="53"/>
        <v>104855mlauriac</v>
      </c>
    </row>
    <row r="596" spans="1:17" hidden="1" x14ac:dyDescent="0.4">
      <c r="A596">
        <v>712</v>
      </c>
      <c r="B596" s="2"/>
      <c r="C596" s="4">
        <v>45908</v>
      </c>
      <c r="D596" s="5">
        <v>0.58333333333333337</v>
      </c>
      <c r="E596" s="5">
        <v>0.64583333333333337</v>
      </c>
      <c r="F596" s="2" t="s">
        <v>9</v>
      </c>
      <c r="G596" s="2" t="s">
        <v>10</v>
      </c>
      <c r="H596" s="2" t="s">
        <v>368</v>
      </c>
      <c r="I596" s="2" t="s">
        <v>369</v>
      </c>
      <c r="J596" s="2">
        <v>104551</v>
      </c>
      <c r="K596" s="2" t="s">
        <v>370</v>
      </c>
      <c r="L596" s="2" t="s">
        <v>18</v>
      </c>
      <c r="M596" t="str">
        <f t="shared" ref="M596:M601" si="54">I596 &amp; " " &amp; K596</f>
        <v>Maelys Lauriac</v>
      </c>
      <c r="Q596" t="str">
        <f t="shared" si="53"/>
        <v>104551mlauriac</v>
      </c>
    </row>
    <row r="597" spans="1:17" hidden="1" x14ac:dyDescent="0.4">
      <c r="A597">
        <v>713</v>
      </c>
      <c r="B597" s="2"/>
      <c r="C597" s="4">
        <v>45908</v>
      </c>
      <c r="D597" s="5">
        <v>0.47916666666666669</v>
      </c>
      <c r="E597" s="5">
        <v>0.54166666666666663</v>
      </c>
      <c r="F597" s="2" t="s">
        <v>9</v>
      </c>
      <c r="G597" s="2" t="s">
        <v>10</v>
      </c>
      <c r="H597" s="2" t="s">
        <v>368</v>
      </c>
      <c r="I597" s="2" t="s">
        <v>369</v>
      </c>
      <c r="J597" s="2">
        <v>104550</v>
      </c>
      <c r="K597" s="2" t="s">
        <v>370</v>
      </c>
      <c r="L597" s="2" t="s">
        <v>18</v>
      </c>
      <c r="M597" t="str">
        <f t="shared" si="54"/>
        <v>Maelys Lauriac</v>
      </c>
      <c r="Q597" t="str">
        <f t="shared" si="53"/>
        <v>104550mlauriac</v>
      </c>
    </row>
    <row r="598" spans="1:17" hidden="1" x14ac:dyDescent="0.4">
      <c r="A598">
        <v>714</v>
      </c>
      <c r="B598" s="2"/>
      <c r="C598" s="4">
        <v>45908</v>
      </c>
      <c r="D598" s="5">
        <v>0.375</v>
      </c>
      <c r="E598" s="5">
        <v>0.4375</v>
      </c>
      <c r="F598" s="2" t="s">
        <v>9</v>
      </c>
      <c r="G598" s="2" t="s">
        <v>10</v>
      </c>
      <c r="H598" s="2" t="s">
        <v>368</v>
      </c>
      <c r="I598" s="2" t="s">
        <v>369</v>
      </c>
      <c r="J598" s="2">
        <v>102916</v>
      </c>
      <c r="K598" s="2" t="s">
        <v>370</v>
      </c>
      <c r="L598" s="2" t="s">
        <v>18</v>
      </c>
      <c r="M598" t="str">
        <f t="shared" si="54"/>
        <v>Maelys Lauriac</v>
      </c>
      <c r="Q598" t="str">
        <f t="shared" si="53"/>
        <v>102916mlauriac</v>
      </c>
    </row>
    <row r="599" spans="1:17" hidden="1" x14ac:dyDescent="0.4">
      <c r="A599">
        <v>715</v>
      </c>
      <c r="B599" s="2"/>
      <c r="C599" s="4">
        <v>45909</v>
      </c>
      <c r="D599" s="5">
        <v>0.39583333333333331</v>
      </c>
      <c r="E599" s="5">
        <v>0.47916666666666669</v>
      </c>
      <c r="F599" s="2" t="s">
        <v>9</v>
      </c>
      <c r="G599" s="2" t="s">
        <v>10</v>
      </c>
      <c r="H599" s="2" t="s">
        <v>224</v>
      </c>
      <c r="I599" s="2" t="s">
        <v>225</v>
      </c>
      <c r="J599" s="2">
        <v>104959</v>
      </c>
      <c r="K599" s="2" t="s">
        <v>226</v>
      </c>
      <c r="L599" s="2" t="s">
        <v>18</v>
      </c>
      <c r="M599" t="str">
        <f t="shared" si="54"/>
        <v>Gwenaël Welcker</v>
      </c>
      <c r="Q599" t="str">
        <f t="shared" si="53"/>
        <v>104959gwelcker</v>
      </c>
    </row>
    <row r="600" spans="1:17" hidden="1" x14ac:dyDescent="0.4">
      <c r="A600">
        <v>716</v>
      </c>
      <c r="B600" s="2"/>
      <c r="C600" s="4">
        <v>45909</v>
      </c>
      <c r="D600" s="5">
        <v>0.39583333333333331</v>
      </c>
      <c r="E600" s="5">
        <v>0.47916666666666669</v>
      </c>
      <c r="F600" s="2" t="s">
        <v>9</v>
      </c>
      <c r="G600" s="2" t="s">
        <v>10</v>
      </c>
      <c r="H600" s="2" t="s">
        <v>571</v>
      </c>
      <c r="I600" s="2" t="s">
        <v>572</v>
      </c>
      <c r="J600" s="2">
        <v>104959</v>
      </c>
      <c r="K600" s="2" t="s">
        <v>573</v>
      </c>
      <c r="L600" s="2" t="s">
        <v>18</v>
      </c>
      <c r="M600" t="str">
        <f t="shared" si="54"/>
        <v>Tomas Wilson</v>
      </c>
      <c r="Q600" t="str">
        <f t="shared" si="53"/>
        <v>104959twilson</v>
      </c>
    </row>
    <row r="601" spans="1:17" hidden="1" x14ac:dyDescent="0.4">
      <c r="A601">
        <v>717</v>
      </c>
      <c r="B601" s="2"/>
      <c r="C601" s="4">
        <v>45908</v>
      </c>
      <c r="D601" s="5">
        <v>0.66666666666666663</v>
      </c>
      <c r="E601" s="5">
        <v>0.72916666666666663</v>
      </c>
      <c r="F601" s="2" t="s">
        <v>9</v>
      </c>
      <c r="G601" s="2" t="s">
        <v>10</v>
      </c>
      <c r="H601" s="2" t="s">
        <v>325</v>
      </c>
      <c r="I601" s="2" t="s">
        <v>313</v>
      </c>
      <c r="J601" s="2">
        <v>104855</v>
      </c>
      <c r="K601" s="2" t="s">
        <v>326</v>
      </c>
      <c r="L601" s="2" t="s">
        <v>18</v>
      </c>
      <c r="M601" t="str">
        <f t="shared" si="54"/>
        <v>Louis Le Lay--Jardin</v>
      </c>
      <c r="Q601" t="str">
        <f t="shared" si="53"/>
        <v>104855llelayjardin</v>
      </c>
    </row>
    <row r="602" spans="1:17" hidden="1" x14ac:dyDescent="0.4">
      <c r="A602">
        <v>719</v>
      </c>
      <c r="B602" s="2"/>
      <c r="C602" s="4">
        <v>45908</v>
      </c>
      <c r="D602" s="5">
        <v>0.58333333333333337</v>
      </c>
      <c r="E602" s="5">
        <v>0.64583333333333337</v>
      </c>
      <c r="F602" s="2" t="s">
        <v>9</v>
      </c>
      <c r="G602" s="2" t="s">
        <v>10</v>
      </c>
      <c r="H602" s="2" t="s">
        <v>325</v>
      </c>
      <c r="I602" s="2" t="s">
        <v>313</v>
      </c>
      <c r="J602" s="2">
        <v>104551</v>
      </c>
      <c r="K602" s="2" t="s">
        <v>326</v>
      </c>
      <c r="L602" s="2" t="s">
        <v>18</v>
      </c>
      <c r="M602" t="str">
        <f>I602 &amp; " " &amp; K602</f>
        <v>Louis Le Lay--Jardin</v>
      </c>
      <c r="Q602" t="str">
        <f t="shared" si="53"/>
        <v>104551llelayjardin</v>
      </c>
    </row>
    <row r="603" spans="1:17" hidden="1" x14ac:dyDescent="0.4">
      <c r="A603">
        <v>720</v>
      </c>
      <c r="B603" s="2"/>
      <c r="C603" s="4">
        <v>45908</v>
      </c>
      <c r="D603" s="5">
        <v>0.47916666666666669</v>
      </c>
      <c r="E603" s="5">
        <v>0.54166666666666663</v>
      </c>
      <c r="F603" s="2" t="s">
        <v>9</v>
      </c>
      <c r="G603" s="2" t="s">
        <v>10</v>
      </c>
      <c r="H603" s="2" t="s">
        <v>325</v>
      </c>
      <c r="I603" s="2" t="s">
        <v>313</v>
      </c>
      <c r="J603" s="2">
        <v>104550</v>
      </c>
      <c r="K603" s="2" t="s">
        <v>326</v>
      </c>
      <c r="L603" s="2" t="s">
        <v>18</v>
      </c>
      <c r="M603" t="str">
        <f>I603 &amp; " " &amp; K603</f>
        <v>Louis Le Lay--Jardin</v>
      </c>
      <c r="Q603" t="str">
        <f t="shared" si="53"/>
        <v>104550llelayjardin</v>
      </c>
    </row>
    <row r="604" spans="1:17" hidden="1" x14ac:dyDescent="0.4">
      <c r="A604">
        <v>721</v>
      </c>
      <c r="B604" s="2"/>
      <c r="C604" s="4">
        <v>45908</v>
      </c>
      <c r="D604" s="5">
        <v>0.375</v>
      </c>
      <c r="E604" s="5">
        <v>0.4375</v>
      </c>
      <c r="F604" s="2" t="s">
        <v>9</v>
      </c>
      <c r="G604" s="2" t="s">
        <v>10</v>
      </c>
      <c r="H604" s="2" t="s">
        <v>325</v>
      </c>
      <c r="I604" s="2" t="s">
        <v>313</v>
      </c>
      <c r="J604" s="2">
        <v>102916</v>
      </c>
      <c r="K604" s="2" t="s">
        <v>326</v>
      </c>
      <c r="L604" s="2" t="s">
        <v>18</v>
      </c>
      <c r="M604" t="str">
        <f>K604 &amp; " " &amp; I604</f>
        <v>Le Lay--Jardin Louis</v>
      </c>
      <c r="Q604" t="str">
        <f t="shared" si="53"/>
        <v>102916llelayjardin</v>
      </c>
    </row>
    <row r="605" spans="1:17" hidden="1" x14ac:dyDescent="0.4">
      <c r="A605">
        <v>722</v>
      </c>
      <c r="B605" s="2"/>
      <c r="C605" s="4">
        <v>45909</v>
      </c>
      <c r="D605" s="5">
        <v>0.39583333333333331</v>
      </c>
      <c r="E605" s="5">
        <v>0.47916666666666669</v>
      </c>
      <c r="F605" s="2" t="s">
        <v>9</v>
      </c>
      <c r="G605" s="2" t="s">
        <v>10</v>
      </c>
      <c r="H605" s="2" t="s">
        <v>348</v>
      </c>
      <c r="I605" s="2" t="s">
        <v>349</v>
      </c>
      <c r="J605" s="2">
        <v>104959</v>
      </c>
      <c r="K605" s="2" t="s">
        <v>350</v>
      </c>
      <c r="L605" s="2" t="s">
        <v>18</v>
      </c>
      <c r="M605" t="str">
        <f>I605 &amp; " " &amp; K605</f>
        <v>Lyuwa Xiao</v>
      </c>
      <c r="Q605" t="str">
        <f t="shared" si="53"/>
        <v>104959lxiao</v>
      </c>
    </row>
    <row r="606" spans="1:17" hidden="1" x14ac:dyDescent="0.4">
      <c r="A606">
        <v>723</v>
      </c>
      <c r="B606" s="2"/>
      <c r="C606" s="4">
        <v>45909</v>
      </c>
      <c r="D606" s="5">
        <v>0.39583333333333331</v>
      </c>
      <c r="E606" s="5">
        <v>0.47916666666666669</v>
      </c>
      <c r="F606" s="2" t="s">
        <v>9</v>
      </c>
      <c r="G606" s="2" t="s">
        <v>10</v>
      </c>
      <c r="H606" s="2" t="s">
        <v>548</v>
      </c>
      <c r="I606" s="2" t="s">
        <v>549</v>
      </c>
      <c r="J606" s="2">
        <v>104959</v>
      </c>
      <c r="K606" s="2" t="s">
        <v>550</v>
      </c>
      <c r="L606" s="2" t="s">
        <v>18</v>
      </c>
      <c r="M606" t="str">
        <f>I606 &amp; " " &amp; K606</f>
        <v>Sesshu Yagi</v>
      </c>
      <c r="Q606" t="str">
        <f t="shared" si="53"/>
        <v>104959syagi</v>
      </c>
    </row>
    <row r="607" spans="1:17" hidden="1" x14ac:dyDescent="0.4">
      <c r="A607">
        <v>724</v>
      </c>
      <c r="B607" s="2"/>
      <c r="C607" s="4">
        <v>45908</v>
      </c>
      <c r="D607" s="5">
        <v>0.66666666666666663</v>
      </c>
      <c r="E607" s="5">
        <v>0.72916666666666663</v>
      </c>
      <c r="F607" s="2" t="s">
        <v>9</v>
      </c>
      <c r="G607" s="2" t="s">
        <v>10</v>
      </c>
      <c r="H607" s="2" t="s">
        <v>522</v>
      </c>
      <c r="I607" s="2" t="s">
        <v>523</v>
      </c>
      <c r="J607" s="2">
        <v>104855</v>
      </c>
      <c r="K607" s="2" t="s">
        <v>524</v>
      </c>
      <c r="L607" s="2" t="s">
        <v>18</v>
      </c>
      <c r="M607" t="str">
        <f>K607 &amp; " " &amp; I607</f>
        <v>Leblanc - - La Rosa Sarah</v>
      </c>
      <c r="Q607" t="str">
        <f t="shared" si="53"/>
        <v>104855sleblanclarosa</v>
      </c>
    </row>
    <row r="608" spans="1:17" hidden="1" x14ac:dyDescent="0.4">
      <c r="A608">
        <v>726</v>
      </c>
      <c r="B608" s="2"/>
      <c r="C608" s="4">
        <v>45908</v>
      </c>
      <c r="D608" s="5">
        <v>0.58333333333333337</v>
      </c>
      <c r="E608" s="5">
        <v>0.64583333333333337</v>
      </c>
      <c r="F608" s="2" t="s">
        <v>9</v>
      </c>
      <c r="G608" s="2" t="s">
        <v>10</v>
      </c>
      <c r="H608" s="2" t="s">
        <v>522</v>
      </c>
      <c r="I608" s="2" t="s">
        <v>523</v>
      </c>
      <c r="J608" s="2">
        <v>104551</v>
      </c>
      <c r="K608" s="2" t="s">
        <v>524</v>
      </c>
      <c r="L608" s="2" t="s">
        <v>18</v>
      </c>
      <c r="M608" t="str">
        <f>K608 &amp; " " &amp; I608</f>
        <v>Leblanc - - La Rosa Sarah</v>
      </c>
      <c r="Q608" t="str">
        <f t="shared" si="53"/>
        <v>104551sleblanclarosa</v>
      </c>
    </row>
    <row r="609" spans="1:17" hidden="1" x14ac:dyDescent="0.4">
      <c r="A609">
        <v>727</v>
      </c>
      <c r="B609" s="2"/>
      <c r="C609" s="4">
        <v>45908</v>
      </c>
      <c r="D609" s="5">
        <v>0.47916666666666669</v>
      </c>
      <c r="E609" s="5">
        <v>0.54166666666666663</v>
      </c>
      <c r="F609" s="2" t="s">
        <v>9</v>
      </c>
      <c r="G609" s="2" t="s">
        <v>10</v>
      </c>
      <c r="H609" s="2" t="s">
        <v>522</v>
      </c>
      <c r="I609" s="2" t="s">
        <v>523</v>
      </c>
      <c r="J609" s="2">
        <v>104550</v>
      </c>
      <c r="K609" s="2" t="s">
        <v>524</v>
      </c>
      <c r="L609" s="2" t="s">
        <v>18</v>
      </c>
      <c r="M609" t="str">
        <f>K609 &amp; " " &amp; I609</f>
        <v>Leblanc - - La Rosa Sarah</v>
      </c>
      <c r="Q609" t="str">
        <f t="shared" si="53"/>
        <v>104550sleblanclarosa</v>
      </c>
    </row>
    <row r="610" spans="1:17" hidden="1" x14ac:dyDescent="0.4">
      <c r="A610">
        <v>728</v>
      </c>
      <c r="B610" s="2"/>
      <c r="C610" s="4">
        <v>45908</v>
      </c>
      <c r="D610" s="5">
        <v>0.375</v>
      </c>
      <c r="E610" s="5">
        <v>0.4375</v>
      </c>
      <c r="F610" s="2" t="s">
        <v>9</v>
      </c>
      <c r="G610" s="2" t="s">
        <v>10</v>
      </c>
      <c r="H610" s="2" t="s">
        <v>522</v>
      </c>
      <c r="I610" s="2" t="s">
        <v>523</v>
      </c>
      <c r="J610" s="2">
        <v>102916</v>
      </c>
      <c r="K610" s="2" t="s">
        <v>524</v>
      </c>
      <c r="L610" s="2" t="s">
        <v>18</v>
      </c>
      <c r="M610" t="str">
        <f>K610 &amp; " " &amp; I610</f>
        <v>Leblanc - - La Rosa Sarah</v>
      </c>
      <c r="Q610" t="str">
        <f t="shared" si="53"/>
        <v>102916sleblanclarosa</v>
      </c>
    </row>
    <row r="611" spans="1:17" s="6" customFormat="1" hidden="1" x14ac:dyDescent="0.4">
      <c r="A611">
        <v>729</v>
      </c>
      <c r="B611" s="2"/>
      <c r="C611" s="4">
        <v>45909</v>
      </c>
      <c r="D611" s="5">
        <v>0.39583333333333331</v>
      </c>
      <c r="E611" s="5">
        <v>0.47916666666666669</v>
      </c>
      <c r="F611" s="2" t="s">
        <v>9</v>
      </c>
      <c r="G611" s="2" t="s">
        <v>10</v>
      </c>
      <c r="H611" s="2" t="s">
        <v>247</v>
      </c>
      <c r="I611" s="2" t="s">
        <v>248</v>
      </c>
      <c r="J611" s="2">
        <v>104959</v>
      </c>
      <c r="K611" s="2" t="s">
        <v>249</v>
      </c>
      <c r="L611" s="2" t="s">
        <v>18</v>
      </c>
      <c r="M611" t="str">
        <f t="shared" ref="M611:M616" si="55">I611 &amp; " " &amp; K611</f>
        <v>Haoting Ye</v>
      </c>
      <c r="Q611" t="str">
        <f t="shared" si="53"/>
        <v>104959hye</v>
      </c>
    </row>
    <row r="612" spans="1:17" hidden="1" x14ac:dyDescent="0.4">
      <c r="A612">
        <v>730</v>
      </c>
      <c r="B612" s="2"/>
      <c r="C612" s="4">
        <v>45909</v>
      </c>
      <c r="D612" s="5">
        <v>0.39583333333333331</v>
      </c>
      <c r="E612" s="5">
        <v>0.47916666666666669</v>
      </c>
      <c r="F612" s="2" t="s">
        <v>9</v>
      </c>
      <c r="G612" s="2" t="s">
        <v>10</v>
      </c>
      <c r="H612" s="2" t="s">
        <v>551</v>
      </c>
      <c r="I612" s="2" t="s">
        <v>552</v>
      </c>
      <c r="J612" s="2">
        <v>104959</v>
      </c>
      <c r="K612" s="2" t="s">
        <v>553</v>
      </c>
      <c r="L612" s="2" t="s">
        <v>18</v>
      </c>
      <c r="M612" t="str">
        <f t="shared" si="55"/>
        <v>Seongwon Yoon</v>
      </c>
      <c r="Q612" t="str">
        <f t="shared" si="53"/>
        <v>104959syoon</v>
      </c>
    </row>
    <row r="613" spans="1:17" hidden="1" x14ac:dyDescent="0.4">
      <c r="A613">
        <v>731</v>
      </c>
      <c r="B613" s="2"/>
      <c r="C613" s="4">
        <v>45908</v>
      </c>
      <c r="D613" s="5">
        <v>0.66666666666666663</v>
      </c>
      <c r="E613" s="5">
        <v>0.72916666666666663</v>
      </c>
      <c r="F613" s="2" t="s">
        <v>9</v>
      </c>
      <c r="G613" s="2" t="s">
        <v>10</v>
      </c>
      <c r="H613" s="2" t="s">
        <v>499</v>
      </c>
      <c r="I613" s="2" t="s">
        <v>500</v>
      </c>
      <c r="J613" s="2">
        <v>104855</v>
      </c>
      <c r="K613" s="2" t="s">
        <v>501</v>
      </c>
      <c r="L613" s="2" t="s">
        <v>18</v>
      </c>
      <c r="M613" t="str">
        <f t="shared" si="55"/>
        <v>Robin Leblond</v>
      </c>
      <c r="Q613" t="str">
        <f t="shared" si="53"/>
        <v>104855rleblond</v>
      </c>
    </row>
    <row r="614" spans="1:17" hidden="1" x14ac:dyDescent="0.4">
      <c r="A614">
        <v>733</v>
      </c>
      <c r="B614" s="2"/>
      <c r="C614" s="4">
        <v>45908</v>
      </c>
      <c r="D614" s="5">
        <v>0.58333333333333337</v>
      </c>
      <c r="E614" s="5">
        <v>0.64583333333333337</v>
      </c>
      <c r="F614" s="2" t="s">
        <v>9</v>
      </c>
      <c r="G614" s="2" t="s">
        <v>10</v>
      </c>
      <c r="H614" s="2" t="s">
        <v>499</v>
      </c>
      <c r="I614" s="2" t="s">
        <v>500</v>
      </c>
      <c r="J614" s="2">
        <v>104551</v>
      </c>
      <c r="K614" s="2" t="s">
        <v>501</v>
      </c>
      <c r="L614" s="2" t="s">
        <v>18</v>
      </c>
      <c r="M614" t="str">
        <f t="shared" si="55"/>
        <v>Robin Leblond</v>
      </c>
      <c r="Q614" t="str">
        <f t="shared" si="53"/>
        <v>104551rleblond</v>
      </c>
    </row>
    <row r="615" spans="1:17" hidden="1" x14ac:dyDescent="0.4">
      <c r="A615">
        <v>734</v>
      </c>
      <c r="B615" s="2"/>
      <c r="C615" s="4">
        <v>45908</v>
      </c>
      <c r="D615" s="5">
        <v>0.47916666666666669</v>
      </c>
      <c r="E615" s="5">
        <v>0.54166666666666663</v>
      </c>
      <c r="F615" s="2" t="s">
        <v>9</v>
      </c>
      <c r="G615" s="2" t="s">
        <v>10</v>
      </c>
      <c r="H615" s="2" t="s">
        <v>499</v>
      </c>
      <c r="I615" s="2" t="s">
        <v>500</v>
      </c>
      <c r="J615" s="2">
        <v>104550</v>
      </c>
      <c r="K615" s="2" t="s">
        <v>501</v>
      </c>
      <c r="L615" s="2" t="s">
        <v>18</v>
      </c>
      <c r="M615" t="str">
        <f t="shared" si="55"/>
        <v>Robin Leblond</v>
      </c>
      <c r="Q615" t="str">
        <f t="shared" si="53"/>
        <v>104550rleblond</v>
      </c>
    </row>
    <row r="616" spans="1:17" hidden="1" x14ac:dyDescent="0.4">
      <c r="A616">
        <v>735</v>
      </c>
      <c r="B616" s="2"/>
      <c r="C616" s="4">
        <v>45908</v>
      </c>
      <c r="D616" s="5">
        <v>0.375</v>
      </c>
      <c r="E616" s="5">
        <v>0.4375</v>
      </c>
      <c r="F616" s="2" t="s">
        <v>9</v>
      </c>
      <c r="G616" s="2" t="s">
        <v>10</v>
      </c>
      <c r="H616" s="2" t="s">
        <v>499</v>
      </c>
      <c r="I616" s="2" t="s">
        <v>500</v>
      </c>
      <c r="J616" s="2">
        <v>102916</v>
      </c>
      <c r="K616" s="2" t="s">
        <v>501</v>
      </c>
      <c r="L616" s="2" t="s">
        <v>18</v>
      </c>
      <c r="M616" t="str">
        <f t="shared" si="55"/>
        <v>Robin Leblond</v>
      </c>
      <c r="Q616" t="str">
        <f t="shared" si="53"/>
        <v>102916rleblond</v>
      </c>
    </row>
    <row r="617" spans="1:17" hidden="1" x14ac:dyDescent="0.4">
      <c r="A617">
        <v>736</v>
      </c>
      <c r="B617" s="2"/>
      <c r="C617" s="4">
        <v>45909</v>
      </c>
      <c r="D617" s="5">
        <v>0.39583333333333331</v>
      </c>
      <c r="E617" s="5">
        <v>0.47916666666666669</v>
      </c>
      <c r="F617" s="2" t="s">
        <v>9</v>
      </c>
      <c r="G617" s="2" t="s">
        <v>10</v>
      </c>
      <c r="H617" s="2" t="s">
        <v>255</v>
      </c>
      <c r="I617" s="2" t="s">
        <v>256</v>
      </c>
      <c r="J617" s="2">
        <v>104959</v>
      </c>
      <c r="K617" s="2" t="s">
        <v>257</v>
      </c>
      <c r="L617" s="2" t="s">
        <v>14</v>
      </c>
      <c r="M617" t="str">
        <f>K617 &amp; " " &amp; I617</f>
        <v>Zajtmann Ilan</v>
      </c>
      <c r="Q617" t="str">
        <f t="shared" si="53"/>
        <v>104959izajtmann1</v>
      </c>
    </row>
    <row r="618" spans="1:17" hidden="1" x14ac:dyDescent="0.4">
      <c r="A618">
        <v>737</v>
      </c>
      <c r="B618" s="2"/>
      <c r="C618" s="4">
        <v>45909</v>
      </c>
      <c r="D618" s="5">
        <v>0.39583333333333331</v>
      </c>
      <c r="E618" s="5">
        <v>0.47916666666666669</v>
      </c>
      <c r="F618" s="2" t="s">
        <v>9</v>
      </c>
      <c r="G618" s="2" t="s">
        <v>10</v>
      </c>
      <c r="H618" s="2" t="s">
        <v>187</v>
      </c>
      <c r="I618" s="2" t="s">
        <v>188</v>
      </c>
      <c r="J618" s="2">
        <v>104959</v>
      </c>
      <c r="K618" s="2" t="s">
        <v>189</v>
      </c>
      <c r="L618" s="2" t="s">
        <v>14</v>
      </c>
      <c r="M618" t="str">
        <f>K618 &amp; " " &amp; I618</f>
        <v>Zemihi Enzo</v>
      </c>
      <c r="Q618" t="str">
        <f t="shared" si="53"/>
        <v>104959ezemihi</v>
      </c>
    </row>
    <row r="619" spans="1:17" hidden="1" x14ac:dyDescent="0.4">
      <c r="A619">
        <v>738</v>
      </c>
      <c r="B619" s="2"/>
      <c r="C619" s="4">
        <v>45908</v>
      </c>
      <c r="D619" s="5">
        <v>0.66666666666666663</v>
      </c>
      <c r="E619" s="5">
        <v>0.72916666666666663</v>
      </c>
      <c r="F619" s="2" t="s">
        <v>9</v>
      </c>
      <c r="G619" s="2" t="s">
        <v>10</v>
      </c>
      <c r="H619" s="2" t="s">
        <v>502</v>
      </c>
      <c r="I619" s="2" t="s">
        <v>503</v>
      </c>
      <c r="J619" s="2">
        <v>104855</v>
      </c>
      <c r="K619" s="2" t="s">
        <v>504</v>
      </c>
      <c r="L619" s="2" t="s">
        <v>18</v>
      </c>
      <c r="M619" t="str">
        <f>K619 &amp; " " &amp; I619</f>
        <v>Leleu Romane</v>
      </c>
      <c r="Q619" t="str">
        <f t="shared" si="53"/>
        <v>104855rleleu1</v>
      </c>
    </row>
    <row r="620" spans="1:17" hidden="1" x14ac:dyDescent="0.4">
      <c r="A620">
        <v>740</v>
      </c>
      <c r="B620" s="2"/>
      <c r="C620" s="4">
        <v>45908</v>
      </c>
      <c r="D620" s="5">
        <v>0.58333333333333337</v>
      </c>
      <c r="E620" s="5">
        <v>0.64583333333333337</v>
      </c>
      <c r="F620" s="2" t="s">
        <v>9</v>
      </c>
      <c r="G620" s="2" t="s">
        <v>10</v>
      </c>
      <c r="H620" s="2" t="s">
        <v>502</v>
      </c>
      <c r="I620" s="2" t="s">
        <v>503</v>
      </c>
      <c r="J620" s="2">
        <v>104551</v>
      </c>
      <c r="K620" s="2" t="s">
        <v>504</v>
      </c>
      <c r="L620" s="2" t="s">
        <v>18</v>
      </c>
      <c r="M620" t="str">
        <f>K620 &amp; " " &amp; I620</f>
        <v>Leleu Romane</v>
      </c>
      <c r="Q620" t="str">
        <f t="shared" si="53"/>
        <v>104551rleleu1</v>
      </c>
    </row>
    <row r="621" spans="1:17" hidden="1" x14ac:dyDescent="0.4">
      <c r="A621">
        <v>741</v>
      </c>
      <c r="B621" s="2"/>
      <c r="C621" s="4">
        <v>45908</v>
      </c>
      <c r="D621" s="5">
        <v>0.47916666666666669</v>
      </c>
      <c r="E621" s="5">
        <v>0.54166666666666663</v>
      </c>
      <c r="F621" s="2" t="s">
        <v>9</v>
      </c>
      <c r="G621" s="2" t="s">
        <v>10</v>
      </c>
      <c r="H621" s="2" t="s">
        <v>502</v>
      </c>
      <c r="I621" s="2" t="s">
        <v>503</v>
      </c>
      <c r="J621" s="2">
        <v>104550</v>
      </c>
      <c r="K621" s="2" t="s">
        <v>504</v>
      </c>
      <c r="L621" s="2" t="s">
        <v>18</v>
      </c>
      <c r="M621" t="str">
        <f>K621 &amp; " " &amp; I621</f>
        <v>Leleu Romane</v>
      </c>
      <c r="Q621" t="str">
        <f t="shared" si="53"/>
        <v>104550rleleu1</v>
      </c>
    </row>
    <row r="622" spans="1:17" hidden="1" x14ac:dyDescent="0.4">
      <c r="A622">
        <v>742</v>
      </c>
      <c r="B622" s="2"/>
      <c r="C622" s="4">
        <v>45908</v>
      </c>
      <c r="D622" s="5">
        <v>0.375</v>
      </c>
      <c r="E622" s="5">
        <v>0.4375</v>
      </c>
      <c r="F622" s="2" t="s">
        <v>9</v>
      </c>
      <c r="G622" s="2" t="s">
        <v>10</v>
      </c>
      <c r="H622" s="2" t="s">
        <v>502</v>
      </c>
      <c r="I622" s="2" t="s">
        <v>503</v>
      </c>
      <c r="J622" s="2">
        <v>102916</v>
      </c>
      <c r="K622" s="2" t="s">
        <v>504</v>
      </c>
      <c r="L622" s="2" t="s">
        <v>18</v>
      </c>
      <c r="M622" t="str">
        <f>I622 &amp; " " &amp; K622</f>
        <v>Romane Leleu</v>
      </c>
      <c r="Q622" t="str">
        <f t="shared" si="53"/>
        <v>102916rleleu1</v>
      </c>
    </row>
    <row r="623" spans="1:17" hidden="1" x14ac:dyDescent="0.4">
      <c r="A623">
        <v>743</v>
      </c>
      <c r="B623" s="2"/>
      <c r="C623" s="4">
        <v>45909</v>
      </c>
      <c r="D623" s="5">
        <v>0.5</v>
      </c>
      <c r="E623" s="5">
        <v>0.54166666666666663</v>
      </c>
      <c r="F623" s="2" t="s">
        <v>9</v>
      </c>
      <c r="G623" s="2" t="s">
        <v>10</v>
      </c>
      <c r="H623" s="2" t="s">
        <v>471</v>
      </c>
      <c r="I623" s="2" t="s">
        <v>472</v>
      </c>
      <c r="J623" s="2">
        <v>102753</v>
      </c>
      <c r="K623" s="2" t="s">
        <v>473</v>
      </c>
      <c r="L623" s="2" t="s">
        <v>18</v>
      </c>
      <c r="M623" t="str">
        <f>I623 &amp; " " &amp; K623</f>
        <v>Pierre Louis Agondjo Ndenguinot</v>
      </c>
      <c r="Q623" t="str">
        <f t="shared" si="53"/>
        <v>102753plagondjondenguinot</v>
      </c>
    </row>
    <row r="624" spans="1:17" hidden="1" x14ac:dyDescent="0.4">
      <c r="A624">
        <v>744</v>
      </c>
      <c r="B624" s="2"/>
      <c r="C624" s="4">
        <v>45909</v>
      </c>
      <c r="D624" s="5">
        <v>0.5</v>
      </c>
      <c r="E624" s="5">
        <v>0.54166666666666663</v>
      </c>
      <c r="F624" s="2" t="s">
        <v>9</v>
      </c>
      <c r="G624" s="2" t="s">
        <v>10</v>
      </c>
      <c r="H624" s="2" t="s">
        <v>554</v>
      </c>
      <c r="I624" s="2" t="s">
        <v>555</v>
      </c>
      <c r="J624" s="2">
        <v>102753</v>
      </c>
      <c r="K624" s="2" t="s">
        <v>556</v>
      </c>
      <c r="L624" s="2" t="s">
        <v>18</v>
      </c>
      <c r="M624" t="str">
        <f>I624 &amp; " " &amp; K624</f>
        <v>Tristan Aguerre</v>
      </c>
      <c r="Q624" t="str">
        <f t="shared" si="53"/>
        <v>102753taguerre</v>
      </c>
    </row>
    <row r="625" spans="1:17" hidden="1" x14ac:dyDescent="0.4">
      <c r="A625">
        <v>745</v>
      </c>
      <c r="B625" s="2"/>
      <c r="C625" s="4">
        <v>45908</v>
      </c>
      <c r="D625" s="5">
        <v>0.66666666666666663</v>
      </c>
      <c r="E625" s="5">
        <v>0.72916666666666663</v>
      </c>
      <c r="F625" s="2" t="s">
        <v>9</v>
      </c>
      <c r="G625" s="2" t="s">
        <v>10</v>
      </c>
      <c r="H625" s="2" t="s">
        <v>566</v>
      </c>
      <c r="I625" s="2" t="s">
        <v>567</v>
      </c>
      <c r="J625" s="2">
        <v>104855</v>
      </c>
      <c r="K625" s="2" t="s">
        <v>568</v>
      </c>
      <c r="L625" s="2" t="s">
        <v>18</v>
      </c>
      <c r="M625" t="str">
        <f>I625 &amp; " " &amp; K625</f>
        <v>Théo Lemaire</v>
      </c>
      <c r="Q625" t="str">
        <f t="shared" si="53"/>
        <v>104855tlemaire</v>
      </c>
    </row>
    <row r="626" spans="1:17" hidden="1" x14ac:dyDescent="0.4">
      <c r="A626">
        <v>748</v>
      </c>
      <c r="B626" s="2"/>
      <c r="C626" s="4">
        <v>45908</v>
      </c>
      <c r="D626" s="5">
        <v>0.58333333333333337</v>
      </c>
      <c r="E626" s="5">
        <v>0.64583333333333337</v>
      </c>
      <c r="F626" s="2" t="s">
        <v>9</v>
      </c>
      <c r="G626" s="2" t="s">
        <v>10</v>
      </c>
      <c r="H626" s="2" t="s">
        <v>566</v>
      </c>
      <c r="I626" s="2" t="s">
        <v>567</v>
      </c>
      <c r="J626" s="2">
        <v>104551</v>
      </c>
      <c r="K626" s="2" t="s">
        <v>568</v>
      </c>
      <c r="L626" s="2" t="s">
        <v>18</v>
      </c>
      <c r="M626" t="str">
        <f t="shared" ref="M626:M631" si="56">I626 &amp; " " &amp; K626</f>
        <v>Théo Lemaire</v>
      </c>
      <c r="Q626" t="str">
        <f t="shared" si="53"/>
        <v>104551tlemaire</v>
      </c>
    </row>
    <row r="627" spans="1:17" hidden="1" x14ac:dyDescent="0.4">
      <c r="A627">
        <v>749</v>
      </c>
      <c r="B627" s="2"/>
      <c r="C627" s="4">
        <v>45908</v>
      </c>
      <c r="D627" s="5">
        <v>0.47916666666666669</v>
      </c>
      <c r="E627" s="5">
        <v>0.54166666666666663</v>
      </c>
      <c r="F627" s="2" t="s">
        <v>9</v>
      </c>
      <c r="G627" s="2" t="s">
        <v>10</v>
      </c>
      <c r="H627" s="2" t="s">
        <v>566</v>
      </c>
      <c r="I627" s="2" t="s">
        <v>567</v>
      </c>
      <c r="J627" s="2">
        <v>104550</v>
      </c>
      <c r="K627" s="2" t="s">
        <v>568</v>
      </c>
      <c r="L627" s="2" t="s">
        <v>18</v>
      </c>
      <c r="M627" t="str">
        <f t="shared" si="56"/>
        <v>Théo Lemaire</v>
      </c>
      <c r="Q627" t="str">
        <f t="shared" si="53"/>
        <v>104550tlemaire</v>
      </c>
    </row>
    <row r="628" spans="1:17" hidden="1" x14ac:dyDescent="0.4">
      <c r="A628">
        <v>750</v>
      </c>
      <c r="B628" s="2"/>
      <c r="C628" s="4">
        <v>45908</v>
      </c>
      <c r="D628" s="5">
        <v>0.375</v>
      </c>
      <c r="E628" s="5">
        <v>0.4375</v>
      </c>
      <c r="F628" s="2" t="s">
        <v>9</v>
      </c>
      <c r="G628" s="2" t="s">
        <v>10</v>
      </c>
      <c r="H628" s="2" t="s">
        <v>566</v>
      </c>
      <c r="I628" s="2" t="s">
        <v>567</v>
      </c>
      <c r="J628" s="2">
        <v>102916</v>
      </c>
      <c r="K628" s="2" t="s">
        <v>568</v>
      </c>
      <c r="L628" s="2" t="s">
        <v>18</v>
      </c>
      <c r="M628" t="str">
        <f t="shared" si="56"/>
        <v>Théo Lemaire</v>
      </c>
      <c r="Q628" t="str">
        <f t="shared" si="53"/>
        <v>102916tlemaire</v>
      </c>
    </row>
    <row r="629" spans="1:17" hidden="1" x14ac:dyDescent="0.4">
      <c r="A629">
        <v>751</v>
      </c>
      <c r="B629" s="2"/>
      <c r="C629" s="4">
        <v>45909</v>
      </c>
      <c r="D629" s="5">
        <v>0.5</v>
      </c>
      <c r="E629" s="5">
        <v>0.54166666666666663</v>
      </c>
      <c r="F629" s="2" t="s">
        <v>9</v>
      </c>
      <c r="G629" s="2" t="s">
        <v>10</v>
      </c>
      <c r="H629" s="2" t="s">
        <v>595</v>
      </c>
      <c r="I629" s="2" t="s">
        <v>596</v>
      </c>
      <c r="J629" s="2">
        <v>102753</v>
      </c>
      <c r="K629" s="2" t="s">
        <v>597</v>
      </c>
      <c r="L629" s="2" t="s">
        <v>18</v>
      </c>
      <c r="M629" t="str">
        <f t="shared" si="56"/>
        <v>Yui Amano</v>
      </c>
      <c r="Q629" t="str">
        <f t="shared" si="53"/>
        <v>102753yamano</v>
      </c>
    </row>
    <row r="630" spans="1:17" hidden="1" x14ac:dyDescent="0.4">
      <c r="A630">
        <v>752</v>
      </c>
      <c r="B630" s="2"/>
      <c r="C630" s="4">
        <v>45909</v>
      </c>
      <c r="D630" s="5">
        <v>0.5</v>
      </c>
      <c r="E630" s="5">
        <v>0.54166666666666663</v>
      </c>
      <c r="F630" s="2" t="s">
        <v>9</v>
      </c>
      <c r="G630" s="2" t="s">
        <v>10</v>
      </c>
      <c r="H630" s="2" t="s">
        <v>574</v>
      </c>
      <c r="I630" s="2" t="s">
        <v>575</v>
      </c>
      <c r="J630" s="2">
        <v>102753</v>
      </c>
      <c r="K630" s="2" t="s">
        <v>576</v>
      </c>
      <c r="L630" s="2" t="s">
        <v>18</v>
      </c>
      <c r="M630" t="str">
        <f t="shared" si="56"/>
        <v>Vincent Amir-Tahmasseb</v>
      </c>
      <c r="Q630" t="str">
        <f t="shared" si="53"/>
        <v>102753vamirtahmasseb</v>
      </c>
    </row>
    <row r="631" spans="1:17" hidden="1" x14ac:dyDescent="0.4">
      <c r="A631">
        <v>753</v>
      </c>
      <c r="B631" s="2"/>
      <c r="C631" s="4">
        <v>45908</v>
      </c>
      <c r="D631" s="5">
        <v>0.66666666666666663</v>
      </c>
      <c r="E631" s="5">
        <v>0.72916666666666663</v>
      </c>
      <c r="F631" s="2" t="s">
        <v>9</v>
      </c>
      <c r="G631" s="2" t="s">
        <v>10</v>
      </c>
      <c r="H631" s="2" t="s">
        <v>264</v>
      </c>
      <c r="I631" s="2" t="s">
        <v>262</v>
      </c>
      <c r="J631" s="2">
        <v>104855</v>
      </c>
      <c r="K631" s="2" t="s">
        <v>265</v>
      </c>
      <c r="L631" s="2" t="s">
        <v>18</v>
      </c>
      <c r="M631" t="str">
        <f t="shared" si="56"/>
        <v>Jean-Baptiste Lemoine</v>
      </c>
      <c r="Q631" t="str">
        <f t="shared" si="53"/>
        <v>104855jblemoine</v>
      </c>
    </row>
    <row r="632" spans="1:17" hidden="1" x14ac:dyDescent="0.4">
      <c r="A632">
        <v>755</v>
      </c>
      <c r="B632" s="2"/>
      <c r="C632" s="4">
        <v>45908</v>
      </c>
      <c r="D632" s="5">
        <v>0.58333333333333337</v>
      </c>
      <c r="E632" s="5">
        <v>0.64583333333333337</v>
      </c>
      <c r="F632" s="2" t="s">
        <v>9</v>
      </c>
      <c r="G632" s="2" t="s">
        <v>10</v>
      </c>
      <c r="H632" s="2" t="s">
        <v>264</v>
      </c>
      <c r="I632" s="2" t="s">
        <v>262</v>
      </c>
      <c r="J632" s="2">
        <v>104551</v>
      </c>
      <c r="K632" s="2" t="s">
        <v>265</v>
      </c>
      <c r="L632" s="2" t="s">
        <v>18</v>
      </c>
      <c r="M632" t="str">
        <f>I632 &amp; " " &amp; K632</f>
        <v>Jean-Baptiste Lemoine</v>
      </c>
      <c r="Q632" t="str">
        <f t="shared" si="53"/>
        <v>104551jblemoine</v>
      </c>
    </row>
    <row r="633" spans="1:17" hidden="1" x14ac:dyDescent="0.4">
      <c r="A633">
        <v>756</v>
      </c>
      <c r="B633" s="2"/>
      <c r="C633" s="4">
        <v>45908</v>
      </c>
      <c r="D633" s="5">
        <v>0.47916666666666669</v>
      </c>
      <c r="E633" s="5">
        <v>0.54166666666666663</v>
      </c>
      <c r="F633" s="2" t="s">
        <v>9</v>
      </c>
      <c r="G633" s="2" t="s">
        <v>10</v>
      </c>
      <c r="H633" s="2" t="s">
        <v>264</v>
      </c>
      <c r="I633" s="2" t="s">
        <v>262</v>
      </c>
      <c r="J633" s="2">
        <v>104550</v>
      </c>
      <c r="K633" s="2" t="s">
        <v>265</v>
      </c>
      <c r="L633" s="2" t="s">
        <v>18</v>
      </c>
      <c r="M633" t="str">
        <f>I633 &amp; " " &amp; K633</f>
        <v>Jean-Baptiste Lemoine</v>
      </c>
      <c r="Q633" t="str">
        <f t="shared" si="53"/>
        <v>104550jblemoine</v>
      </c>
    </row>
    <row r="634" spans="1:17" hidden="1" x14ac:dyDescent="0.4">
      <c r="A634">
        <v>757</v>
      </c>
      <c r="B634" s="2"/>
      <c r="C634" s="4">
        <v>45908</v>
      </c>
      <c r="D634" s="5">
        <v>0.375</v>
      </c>
      <c r="E634" s="5">
        <v>0.4375</v>
      </c>
      <c r="F634" s="2" t="s">
        <v>9</v>
      </c>
      <c r="G634" s="2" t="s">
        <v>10</v>
      </c>
      <c r="H634" s="2" t="s">
        <v>264</v>
      </c>
      <c r="I634" s="2" t="s">
        <v>262</v>
      </c>
      <c r="J634" s="2">
        <v>102916</v>
      </c>
      <c r="K634" s="2" t="s">
        <v>265</v>
      </c>
      <c r="L634" s="2" t="s">
        <v>18</v>
      </c>
      <c r="M634" t="str">
        <f>K634 &amp; " " &amp; I634</f>
        <v>Lemoine Jean-Baptiste</v>
      </c>
      <c r="Q634" t="str">
        <f t="shared" si="53"/>
        <v>102916jblemoine</v>
      </c>
    </row>
    <row r="635" spans="1:17" hidden="1" x14ac:dyDescent="0.4">
      <c r="A635">
        <v>758</v>
      </c>
      <c r="B635" s="2"/>
      <c r="C635" s="4">
        <v>45909</v>
      </c>
      <c r="D635" s="5">
        <v>0.5</v>
      </c>
      <c r="E635" s="5">
        <v>0.54166666666666663</v>
      </c>
      <c r="F635" s="2" t="s">
        <v>9</v>
      </c>
      <c r="G635" s="2" t="s">
        <v>10</v>
      </c>
      <c r="H635" s="2" t="s">
        <v>450</v>
      </c>
      <c r="I635" s="2" t="s">
        <v>451</v>
      </c>
      <c r="J635" s="2">
        <v>102753</v>
      </c>
      <c r="K635" s="2" t="s">
        <v>452</v>
      </c>
      <c r="L635" s="2" t="s">
        <v>18</v>
      </c>
      <c r="M635" t="str">
        <f t="shared" ref="M635:M641" si="57">I635 &amp; " " &amp; K635</f>
        <v>Noam, Sofiane, Milo Angloma</v>
      </c>
      <c r="Q635" t="str">
        <f t="shared" si="53"/>
        <v>102753nsmangloma</v>
      </c>
    </row>
    <row r="636" spans="1:17" hidden="1" x14ac:dyDescent="0.4">
      <c r="A636">
        <v>759</v>
      </c>
      <c r="B636" s="2"/>
      <c r="C636" s="4">
        <v>45909</v>
      </c>
      <c r="D636" s="5">
        <v>0.5</v>
      </c>
      <c r="E636" s="5">
        <v>0.54166666666666663</v>
      </c>
      <c r="F636" s="2" t="s">
        <v>9</v>
      </c>
      <c r="G636" s="2" t="s">
        <v>10</v>
      </c>
      <c r="H636" s="2" t="s">
        <v>354</v>
      </c>
      <c r="I636" s="2" t="s">
        <v>355</v>
      </c>
      <c r="J636" s="2">
        <v>102753</v>
      </c>
      <c r="K636" s="2" t="s">
        <v>356</v>
      </c>
      <c r="L636" s="2" t="s">
        <v>18</v>
      </c>
      <c r="M636" t="str">
        <f t="shared" si="57"/>
        <v>Mélissa Angot</v>
      </c>
      <c r="Q636" t="str">
        <f t="shared" si="53"/>
        <v>102753mangot</v>
      </c>
    </row>
    <row r="637" spans="1:17" hidden="1" x14ac:dyDescent="0.4">
      <c r="A637">
        <v>760</v>
      </c>
      <c r="B637" s="2"/>
      <c r="C637" s="4">
        <v>45908</v>
      </c>
      <c r="D637" s="5">
        <v>0.66666666666666663</v>
      </c>
      <c r="E637" s="5">
        <v>0.72916666666666663</v>
      </c>
      <c r="F637" s="2" t="s">
        <v>9</v>
      </c>
      <c r="G637" s="2" t="s">
        <v>10</v>
      </c>
      <c r="H637" s="2" t="s">
        <v>327</v>
      </c>
      <c r="I637" s="2" t="s">
        <v>328</v>
      </c>
      <c r="J637" s="2">
        <v>104855</v>
      </c>
      <c r="K637" s="2" t="s">
        <v>329</v>
      </c>
      <c r="L637" s="2" t="s">
        <v>18</v>
      </c>
      <c r="M637" t="str">
        <f t="shared" si="57"/>
        <v>Lior Leneman</v>
      </c>
      <c r="Q637" t="str">
        <f t="shared" si="53"/>
        <v>104855lleneman</v>
      </c>
    </row>
    <row r="638" spans="1:17" hidden="1" x14ac:dyDescent="0.4">
      <c r="A638">
        <v>762</v>
      </c>
      <c r="B638" s="2"/>
      <c r="C638" s="4">
        <v>45908</v>
      </c>
      <c r="D638" s="5">
        <v>0.58333333333333337</v>
      </c>
      <c r="E638" s="5">
        <v>0.64583333333333337</v>
      </c>
      <c r="F638" s="2" t="s">
        <v>9</v>
      </c>
      <c r="G638" s="2" t="s">
        <v>10</v>
      </c>
      <c r="H638" s="2" t="s">
        <v>327</v>
      </c>
      <c r="I638" s="2" t="s">
        <v>328</v>
      </c>
      <c r="J638" s="2">
        <v>104551</v>
      </c>
      <c r="K638" s="2" t="s">
        <v>329</v>
      </c>
      <c r="L638" s="2" t="s">
        <v>18</v>
      </c>
      <c r="M638" t="str">
        <f t="shared" si="57"/>
        <v>Lior Leneman</v>
      </c>
      <c r="Q638" t="str">
        <f t="shared" si="53"/>
        <v>104551lleneman</v>
      </c>
    </row>
    <row r="639" spans="1:17" hidden="1" x14ac:dyDescent="0.4">
      <c r="A639">
        <v>763</v>
      </c>
      <c r="B639" s="2"/>
      <c r="C639" s="4">
        <v>45908</v>
      </c>
      <c r="D639" s="5">
        <v>0.47916666666666669</v>
      </c>
      <c r="E639" s="5">
        <v>0.54166666666666663</v>
      </c>
      <c r="F639" s="2" t="s">
        <v>9</v>
      </c>
      <c r="G639" s="2" t="s">
        <v>10</v>
      </c>
      <c r="H639" s="2" t="s">
        <v>327</v>
      </c>
      <c r="I639" s="2" t="s">
        <v>328</v>
      </c>
      <c r="J639" s="2">
        <v>104550</v>
      </c>
      <c r="K639" s="2" t="s">
        <v>329</v>
      </c>
      <c r="L639" s="2" t="s">
        <v>18</v>
      </c>
      <c r="M639" t="str">
        <f t="shared" si="57"/>
        <v>Lior Leneman</v>
      </c>
      <c r="Q639" t="str">
        <f t="shared" si="53"/>
        <v>104550lleneman</v>
      </c>
    </row>
    <row r="640" spans="1:17" hidden="1" x14ac:dyDescent="0.4">
      <c r="A640">
        <v>764</v>
      </c>
      <c r="B640" s="2"/>
      <c r="C640" s="4">
        <v>45908</v>
      </c>
      <c r="D640" s="5">
        <v>0.375</v>
      </c>
      <c r="E640" s="5">
        <v>0.4375</v>
      </c>
      <c r="F640" s="2" t="s">
        <v>9</v>
      </c>
      <c r="G640" s="2" t="s">
        <v>10</v>
      </c>
      <c r="H640" s="2" t="s">
        <v>327</v>
      </c>
      <c r="I640" s="2" t="s">
        <v>328</v>
      </c>
      <c r="J640" s="2">
        <v>102916</v>
      </c>
      <c r="K640" s="2" t="s">
        <v>329</v>
      </c>
      <c r="L640" s="2" t="s">
        <v>18</v>
      </c>
      <c r="M640" t="str">
        <f t="shared" si="57"/>
        <v>Lior Leneman</v>
      </c>
      <c r="Q640" t="str">
        <f t="shared" si="53"/>
        <v>102916lleneman</v>
      </c>
    </row>
    <row r="641" spans="1:17" hidden="1" x14ac:dyDescent="0.4">
      <c r="A641">
        <v>765</v>
      </c>
      <c r="B641" s="2"/>
      <c r="C641" s="4">
        <v>45909</v>
      </c>
      <c r="D641" s="5">
        <v>0.5</v>
      </c>
      <c r="E641" s="5">
        <v>0.54166666666666663</v>
      </c>
      <c r="F641" s="2" t="s">
        <v>9</v>
      </c>
      <c r="G641" s="2" t="s">
        <v>10</v>
      </c>
      <c r="H641" s="2" t="s">
        <v>508</v>
      </c>
      <c r="I641" s="2" t="s">
        <v>509</v>
      </c>
      <c r="J641" s="2">
        <v>102753</v>
      </c>
      <c r="K641" s="2" t="s">
        <v>510</v>
      </c>
      <c r="L641" s="2" t="s">
        <v>18</v>
      </c>
      <c r="M641" t="str">
        <f t="shared" si="57"/>
        <v>Solal Archimbaud--Adad</v>
      </c>
      <c r="Q641" t="str">
        <f t="shared" si="53"/>
        <v>102753sarchimbaudadad</v>
      </c>
    </row>
    <row r="642" spans="1:17" hidden="1" x14ac:dyDescent="0.4">
      <c r="A642">
        <v>766</v>
      </c>
      <c r="B642" s="2"/>
      <c r="C642" s="4">
        <v>45909</v>
      </c>
      <c r="D642" s="5">
        <v>0.5</v>
      </c>
      <c r="E642" s="5">
        <v>0.54166666666666663</v>
      </c>
      <c r="F642" s="2" t="s">
        <v>9</v>
      </c>
      <c r="G642" s="2" t="s">
        <v>10</v>
      </c>
      <c r="H642" s="2" t="s">
        <v>357</v>
      </c>
      <c r="I642" s="2" t="s">
        <v>358</v>
      </c>
      <c r="J642" s="2">
        <v>102753</v>
      </c>
      <c r="K642" s="2" t="s">
        <v>359</v>
      </c>
      <c r="L642" s="2" t="s">
        <v>14</v>
      </c>
      <c r="M642" t="str">
        <f>K642 &amp; " " &amp; I642</f>
        <v>Athané-Best Madeleine</v>
      </c>
      <c r="Q642" t="str">
        <f t="shared" si="53"/>
        <v>102753mathanebest</v>
      </c>
    </row>
    <row r="643" spans="1:17" hidden="1" x14ac:dyDescent="0.4">
      <c r="A643">
        <v>767</v>
      </c>
      <c r="B643" s="2"/>
      <c r="C643" s="4">
        <v>45908</v>
      </c>
      <c r="D643" s="5">
        <v>0.66666666666666663</v>
      </c>
      <c r="E643" s="5">
        <v>0.72916666666666663</v>
      </c>
      <c r="F643" s="2" t="s">
        <v>9</v>
      </c>
      <c r="G643" s="2" t="s">
        <v>10</v>
      </c>
      <c r="H643" s="2" t="s">
        <v>163</v>
      </c>
      <c r="I643" s="2" t="s">
        <v>164</v>
      </c>
      <c r="J643" s="2">
        <v>104855</v>
      </c>
      <c r="K643" s="2" t="s">
        <v>165</v>
      </c>
      <c r="L643" s="2" t="s">
        <v>18</v>
      </c>
      <c r="M643" t="str">
        <f t="shared" ref="M643:M648" si="58">I643 &amp; " " &amp; K643</f>
        <v>Elvire Leroux</v>
      </c>
      <c r="Q643" t="str">
        <f t="shared" si="53"/>
        <v>104855eleroux</v>
      </c>
    </row>
    <row r="644" spans="1:17" hidden="1" x14ac:dyDescent="0.4">
      <c r="A644">
        <v>769</v>
      </c>
      <c r="B644" s="2"/>
      <c r="C644" s="4">
        <v>45908</v>
      </c>
      <c r="D644" s="5">
        <v>0.58333333333333337</v>
      </c>
      <c r="E644" s="5">
        <v>0.64583333333333337</v>
      </c>
      <c r="F644" s="2" t="s">
        <v>9</v>
      </c>
      <c r="G644" s="2" t="s">
        <v>10</v>
      </c>
      <c r="H644" s="2" t="s">
        <v>163</v>
      </c>
      <c r="I644" s="2" t="s">
        <v>164</v>
      </c>
      <c r="J644" s="2">
        <v>104551</v>
      </c>
      <c r="K644" s="2" t="s">
        <v>165</v>
      </c>
      <c r="L644" s="2" t="s">
        <v>18</v>
      </c>
      <c r="M644" t="str">
        <f t="shared" si="58"/>
        <v>Elvire Leroux</v>
      </c>
      <c r="Q644" t="str">
        <f t="shared" si="53"/>
        <v>104551eleroux</v>
      </c>
    </row>
    <row r="645" spans="1:17" hidden="1" x14ac:dyDescent="0.4">
      <c r="A645">
        <v>770</v>
      </c>
      <c r="B645" s="2"/>
      <c r="C645" s="4">
        <v>45908</v>
      </c>
      <c r="D645" s="5">
        <v>0.47916666666666669</v>
      </c>
      <c r="E645" s="5">
        <v>0.54166666666666663</v>
      </c>
      <c r="F645" s="2" t="s">
        <v>9</v>
      </c>
      <c r="G645" s="2" t="s">
        <v>10</v>
      </c>
      <c r="H645" s="2" t="s">
        <v>163</v>
      </c>
      <c r="I645" s="2" t="s">
        <v>164</v>
      </c>
      <c r="J645" s="2">
        <v>104550</v>
      </c>
      <c r="K645" s="2" t="s">
        <v>165</v>
      </c>
      <c r="L645" s="2" t="s">
        <v>18</v>
      </c>
      <c r="M645" t="str">
        <f t="shared" si="58"/>
        <v>Elvire Leroux</v>
      </c>
      <c r="Q645" t="str">
        <f t="shared" ref="Q645:Q697" si="59">J645&amp;H645</f>
        <v>104550eleroux</v>
      </c>
    </row>
    <row r="646" spans="1:17" hidden="1" x14ac:dyDescent="0.4">
      <c r="A646">
        <v>771</v>
      </c>
      <c r="B646" s="2"/>
      <c r="C646" s="4">
        <v>45908</v>
      </c>
      <c r="D646" s="5">
        <v>0.375</v>
      </c>
      <c r="E646" s="5">
        <v>0.4375</v>
      </c>
      <c r="F646" s="2" t="s">
        <v>9</v>
      </c>
      <c r="G646" s="2" t="s">
        <v>10</v>
      </c>
      <c r="H646" s="2" t="s">
        <v>163</v>
      </c>
      <c r="I646" s="2" t="s">
        <v>164</v>
      </c>
      <c r="J646" s="2">
        <v>102916</v>
      </c>
      <c r="K646" s="2" t="s">
        <v>165</v>
      </c>
      <c r="L646" s="2" t="s">
        <v>18</v>
      </c>
      <c r="M646" t="str">
        <f t="shared" si="58"/>
        <v>Elvire Leroux</v>
      </c>
      <c r="Q646" t="str">
        <f t="shared" si="59"/>
        <v>102916eleroux</v>
      </c>
    </row>
    <row r="647" spans="1:17" hidden="1" x14ac:dyDescent="0.4">
      <c r="A647">
        <v>772</v>
      </c>
      <c r="B647" s="2"/>
      <c r="C647" s="4">
        <v>45909</v>
      </c>
      <c r="D647" s="5">
        <v>0.5</v>
      </c>
      <c r="E647" s="5">
        <v>0.54166666666666663</v>
      </c>
      <c r="F647" s="2" t="s">
        <v>9</v>
      </c>
      <c r="G647" s="2" t="s">
        <v>10</v>
      </c>
      <c r="H647" s="2" t="s">
        <v>557</v>
      </c>
      <c r="I647" s="2" t="s">
        <v>558</v>
      </c>
      <c r="J647" s="2">
        <v>102753</v>
      </c>
      <c r="K647" s="2" t="s">
        <v>559</v>
      </c>
      <c r="L647" s="2" t="s">
        <v>18</v>
      </c>
      <c r="M647" t="str">
        <f t="shared" si="58"/>
        <v>Timothée Aubry</v>
      </c>
      <c r="Q647" t="str">
        <f t="shared" si="59"/>
        <v>102753taubry1</v>
      </c>
    </row>
    <row r="648" spans="1:17" hidden="1" x14ac:dyDescent="0.4">
      <c r="A648">
        <v>773</v>
      </c>
      <c r="B648" s="2"/>
      <c r="C648" s="4">
        <v>45909</v>
      </c>
      <c r="D648" s="5">
        <v>0.5</v>
      </c>
      <c r="E648" s="5">
        <v>0.54166666666666663</v>
      </c>
      <c r="F648" s="2" t="s">
        <v>9</v>
      </c>
      <c r="G648" s="2" t="s">
        <v>10</v>
      </c>
      <c r="H648" s="2" t="s">
        <v>209</v>
      </c>
      <c r="I648" s="2" t="s">
        <v>210</v>
      </c>
      <c r="J648" s="2">
        <v>102753</v>
      </c>
      <c r="K648" s="2" t="s">
        <v>211</v>
      </c>
      <c r="L648" s="2" t="s">
        <v>18</v>
      </c>
      <c r="M648" t="str">
        <f t="shared" si="58"/>
        <v>Garance Baltardive</v>
      </c>
      <c r="Q648" t="str">
        <f t="shared" si="59"/>
        <v>102753gbaltardive</v>
      </c>
    </row>
    <row r="649" spans="1:17" hidden="1" x14ac:dyDescent="0.4">
      <c r="A649">
        <v>774</v>
      </c>
      <c r="B649" s="2"/>
      <c r="C649" s="4">
        <v>45908</v>
      </c>
      <c r="D649" s="5">
        <v>0.66666666666666663</v>
      </c>
      <c r="E649" s="5">
        <v>0.72916666666666663</v>
      </c>
      <c r="F649" s="2" t="s">
        <v>9</v>
      </c>
      <c r="G649" s="2" t="s">
        <v>10</v>
      </c>
      <c r="H649" s="2" t="s">
        <v>601</v>
      </c>
      <c r="I649" s="2" t="s">
        <v>602</v>
      </c>
      <c r="J649" s="2">
        <v>104855</v>
      </c>
      <c r="K649" s="2" t="s">
        <v>603</v>
      </c>
      <c r="L649" s="2" t="s">
        <v>18</v>
      </c>
      <c r="M649" t="str">
        <f t="shared" ref="M649:M652" si="60">K649 &amp; " " &amp; I649</f>
        <v>Li Yaokun</v>
      </c>
      <c r="Q649" t="str">
        <f t="shared" si="59"/>
        <v>104855yli2</v>
      </c>
    </row>
    <row r="650" spans="1:17" hidden="1" x14ac:dyDescent="0.4">
      <c r="A650">
        <v>777</v>
      </c>
      <c r="B650" s="2"/>
      <c r="C650" s="4">
        <v>45908</v>
      </c>
      <c r="D650" s="5">
        <v>0.58333333333333337</v>
      </c>
      <c r="E650" s="5">
        <v>0.64583333333333337</v>
      </c>
      <c r="F650" s="2" t="s">
        <v>9</v>
      </c>
      <c r="G650" s="2" t="s">
        <v>10</v>
      </c>
      <c r="H650" s="2" t="s">
        <v>601</v>
      </c>
      <c r="I650" s="2" t="s">
        <v>602</v>
      </c>
      <c r="J650" s="2">
        <v>104551</v>
      </c>
      <c r="K650" s="2" t="s">
        <v>603</v>
      </c>
      <c r="L650" s="2" t="s">
        <v>18</v>
      </c>
      <c r="M650" t="str">
        <f t="shared" si="60"/>
        <v>Li Yaokun</v>
      </c>
      <c r="Q650" t="str">
        <f t="shared" si="59"/>
        <v>104551yli2</v>
      </c>
    </row>
    <row r="651" spans="1:17" hidden="1" x14ac:dyDescent="0.4">
      <c r="A651">
        <v>778</v>
      </c>
      <c r="B651" s="2"/>
      <c r="C651" s="4">
        <v>45908</v>
      </c>
      <c r="D651" s="5">
        <v>0.47916666666666669</v>
      </c>
      <c r="E651" s="5">
        <v>0.54166666666666663</v>
      </c>
      <c r="F651" s="2" t="s">
        <v>9</v>
      </c>
      <c r="G651" s="2" t="s">
        <v>10</v>
      </c>
      <c r="H651" s="2" t="s">
        <v>601</v>
      </c>
      <c r="I651" s="2" t="s">
        <v>602</v>
      </c>
      <c r="J651" s="2">
        <v>104550</v>
      </c>
      <c r="K651" s="2" t="s">
        <v>603</v>
      </c>
      <c r="L651" s="2" t="s">
        <v>18</v>
      </c>
      <c r="M651" t="str">
        <f t="shared" si="60"/>
        <v>Li Yaokun</v>
      </c>
      <c r="Q651" t="str">
        <f t="shared" si="59"/>
        <v>104550yli2</v>
      </c>
    </row>
    <row r="652" spans="1:17" hidden="1" x14ac:dyDescent="0.4">
      <c r="A652">
        <v>779</v>
      </c>
      <c r="B652" s="2"/>
      <c r="C652" s="4">
        <v>45908</v>
      </c>
      <c r="D652" s="5">
        <v>0.375</v>
      </c>
      <c r="E652" s="5">
        <v>0.4375</v>
      </c>
      <c r="F652" s="2" t="s">
        <v>9</v>
      </c>
      <c r="G652" s="2" t="s">
        <v>10</v>
      </c>
      <c r="H652" s="2" t="s">
        <v>601</v>
      </c>
      <c r="I652" s="2" t="s">
        <v>602</v>
      </c>
      <c r="J652" s="2">
        <v>102916</v>
      </c>
      <c r="K652" s="2" t="s">
        <v>603</v>
      </c>
      <c r="L652" s="2" t="s">
        <v>18</v>
      </c>
      <c r="M652" t="str">
        <f t="shared" si="60"/>
        <v>Li Yaokun</v>
      </c>
      <c r="Q652" t="str">
        <f t="shared" si="59"/>
        <v>102916yli2</v>
      </c>
    </row>
    <row r="653" spans="1:17" hidden="1" x14ac:dyDescent="0.4">
      <c r="A653">
        <v>780</v>
      </c>
      <c r="B653" s="2"/>
      <c r="C653" s="4">
        <v>45909</v>
      </c>
      <c r="D653" s="5">
        <v>0.5</v>
      </c>
      <c r="E653" s="5">
        <v>0.54166666666666663</v>
      </c>
      <c r="F653" s="2" t="s">
        <v>9</v>
      </c>
      <c r="G653" s="2" t="s">
        <v>10</v>
      </c>
      <c r="H653" s="2" t="s">
        <v>258</v>
      </c>
      <c r="I653" s="2" t="s">
        <v>259</v>
      </c>
      <c r="J653" s="2">
        <v>102753</v>
      </c>
      <c r="K653" s="2" t="s">
        <v>260</v>
      </c>
      <c r="L653" s="2" t="s">
        <v>18</v>
      </c>
      <c r="M653" t="str">
        <f>I653 &amp; " " &amp; K653</f>
        <v>Juliette Barret--Fontealba</v>
      </c>
      <c r="Q653" t="str">
        <f t="shared" si="59"/>
        <v>102753jbarretfontealba</v>
      </c>
    </row>
    <row r="654" spans="1:17" hidden="1" x14ac:dyDescent="0.4">
      <c r="A654">
        <v>781</v>
      </c>
      <c r="B654" s="2"/>
      <c r="C654" s="4">
        <v>45909</v>
      </c>
      <c r="D654" s="5">
        <v>0.5</v>
      </c>
      <c r="E654" s="5">
        <v>0.54166666666666663</v>
      </c>
      <c r="F654" s="2" t="s">
        <v>9</v>
      </c>
      <c r="G654" s="2" t="s">
        <v>10</v>
      </c>
      <c r="H654" s="2" t="s">
        <v>261</v>
      </c>
      <c r="I654" s="2" t="s">
        <v>262</v>
      </c>
      <c r="J654" s="2">
        <v>102753</v>
      </c>
      <c r="K654" s="2" t="s">
        <v>263</v>
      </c>
      <c r="L654" s="2" t="s">
        <v>18</v>
      </c>
      <c r="M654" t="str">
        <f>I654 &amp; " " &amp; K654</f>
        <v>Jean-Baptiste Batogé</v>
      </c>
      <c r="Q654" t="str">
        <f t="shared" si="59"/>
        <v>102753jbbatoge</v>
      </c>
    </row>
    <row r="655" spans="1:17" hidden="1" x14ac:dyDescent="0.4">
      <c r="A655">
        <v>782</v>
      </c>
      <c r="B655" s="2"/>
      <c r="C655" s="4">
        <v>45908</v>
      </c>
      <c r="D655" s="5">
        <v>0.66666666666666663</v>
      </c>
      <c r="E655" s="5">
        <v>0.72916666666666663</v>
      </c>
      <c r="F655" s="2" t="s">
        <v>9</v>
      </c>
      <c r="G655" s="2" t="s">
        <v>10</v>
      </c>
      <c r="H655" s="2" t="s">
        <v>525</v>
      </c>
      <c r="I655" s="2" t="s">
        <v>526</v>
      </c>
      <c r="J655" s="2">
        <v>104855</v>
      </c>
      <c r="K655" s="2" t="s">
        <v>527</v>
      </c>
      <c r="L655" s="2" t="s">
        <v>18</v>
      </c>
      <c r="M655" t="str">
        <f>K655 &amp; " " &amp; I655</f>
        <v>Lim Skylar</v>
      </c>
      <c r="Q655" t="str">
        <f t="shared" si="59"/>
        <v>104855slim</v>
      </c>
    </row>
    <row r="656" spans="1:17" hidden="1" x14ac:dyDescent="0.4">
      <c r="A656">
        <v>784</v>
      </c>
      <c r="B656" s="2"/>
      <c r="C656" s="4">
        <v>45908</v>
      </c>
      <c r="D656" s="5">
        <v>0.58333333333333337</v>
      </c>
      <c r="E656" s="5">
        <v>0.64583333333333337</v>
      </c>
      <c r="F656" s="2" t="s">
        <v>9</v>
      </c>
      <c r="G656" s="2" t="s">
        <v>10</v>
      </c>
      <c r="H656" s="2" t="s">
        <v>525</v>
      </c>
      <c r="I656" s="2" t="s">
        <v>526</v>
      </c>
      <c r="J656" s="2">
        <v>104551</v>
      </c>
      <c r="K656" s="2" t="s">
        <v>527</v>
      </c>
      <c r="L656" s="2" t="s">
        <v>18</v>
      </c>
      <c r="M656" t="str">
        <f>K656 &amp; " " &amp; I656</f>
        <v>Lim Skylar</v>
      </c>
      <c r="Q656" t="str">
        <f t="shared" si="59"/>
        <v>104551slim</v>
      </c>
    </row>
    <row r="657" spans="1:17" hidden="1" x14ac:dyDescent="0.4">
      <c r="A657">
        <v>785</v>
      </c>
      <c r="B657" s="2"/>
      <c r="C657" s="4">
        <v>45908</v>
      </c>
      <c r="D657" s="5">
        <v>0.47916666666666669</v>
      </c>
      <c r="E657" s="5">
        <v>0.54166666666666663</v>
      </c>
      <c r="F657" s="2" t="s">
        <v>9</v>
      </c>
      <c r="G657" s="2" t="s">
        <v>10</v>
      </c>
      <c r="H657" s="2" t="s">
        <v>525</v>
      </c>
      <c r="I657" s="2" t="s">
        <v>526</v>
      </c>
      <c r="J657" s="2">
        <v>104550</v>
      </c>
      <c r="K657" s="2" t="s">
        <v>527</v>
      </c>
      <c r="L657" s="2" t="s">
        <v>18</v>
      </c>
      <c r="M657" t="str">
        <f>K657 &amp; " " &amp; I657</f>
        <v>Lim Skylar</v>
      </c>
      <c r="Q657" t="str">
        <f t="shared" si="59"/>
        <v>104550slim</v>
      </c>
    </row>
    <row r="658" spans="1:17" hidden="1" x14ac:dyDescent="0.4">
      <c r="A658">
        <v>786</v>
      </c>
      <c r="B658" s="2"/>
      <c r="C658" s="4">
        <v>45908</v>
      </c>
      <c r="D658" s="5">
        <v>0.375</v>
      </c>
      <c r="E658" s="5">
        <v>0.4375</v>
      </c>
      <c r="F658" s="2" t="s">
        <v>9</v>
      </c>
      <c r="G658" s="2" t="s">
        <v>10</v>
      </c>
      <c r="H658" s="2" t="s">
        <v>525</v>
      </c>
      <c r="I658" s="2" t="s">
        <v>526</v>
      </c>
      <c r="J658" s="2">
        <v>102916</v>
      </c>
      <c r="K658" s="2" t="s">
        <v>527</v>
      </c>
      <c r="L658" s="2" t="s">
        <v>18</v>
      </c>
      <c r="M658" t="str">
        <f>K658 &amp; " " &amp; I658</f>
        <v>Lim Skylar</v>
      </c>
      <c r="Q658" t="str">
        <f t="shared" si="59"/>
        <v>102916slim</v>
      </c>
    </row>
    <row r="659" spans="1:17" hidden="1" x14ac:dyDescent="0.4">
      <c r="A659">
        <v>787</v>
      </c>
      <c r="B659" s="2"/>
      <c r="C659" s="4">
        <v>45909</v>
      </c>
      <c r="D659" s="5">
        <v>0.5</v>
      </c>
      <c r="E659" s="5">
        <v>0.54166666666666663</v>
      </c>
      <c r="F659" s="2" t="s">
        <v>9</v>
      </c>
      <c r="G659" s="2" t="s">
        <v>10</v>
      </c>
      <c r="H659" s="2" t="s">
        <v>309</v>
      </c>
      <c r="I659" s="2" t="s">
        <v>310</v>
      </c>
      <c r="J659" s="2">
        <v>102753</v>
      </c>
      <c r="K659" s="2" t="s">
        <v>311</v>
      </c>
      <c r="L659" s="2" t="s">
        <v>18</v>
      </c>
      <c r="M659" t="str">
        <f>I659 &amp; " " &amp; K659</f>
        <v>Lucas Belon</v>
      </c>
      <c r="Q659" t="str">
        <f t="shared" si="59"/>
        <v>102753lbelon</v>
      </c>
    </row>
    <row r="660" spans="1:17" hidden="1" x14ac:dyDescent="0.4">
      <c r="A660">
        <v>788</v>
      </c>
      <c r="B660" s="2"/>
      <c r="C660" s="4">
        <v>45909</v>
      </c>
      <c r="D660" s="5">
        <v>0.5</v>
      </c>
      <c r="E660" s="5">
        <v>0.54166666666666663</v>
      </c>
      <c r="F660" s="2" t="s">
        <v>9</v>
      </c>
      <c r="G660" s="2" t="s">
        <v>10</v>
      </c>
      <c r="H660" s="2" t="s">
        <v>11</v>
      </c>
      <c r="I660" s="2" t="s">
        <v>12</v>
      </c>
      <c r="J660" s="2">
        <v>102753</v>
      </c>
      <c r="K660" s="2" t="s">
        <v>13</v>
      </c>
      <c r="L660" s="2" t="s">
        <v>18</v>
      </c>
      <c r="M660" t="str">
        <f>I660 &amp; " " &amp; K660</f>
        <v>Antonin Berson</v>
      </c>
      <c r="Q660" t="str">
        <f t="shared" si="59"/>
        <v>102753aberson</v>
      </c>
    </row>
    <row r="661" spans="1:17" hidden="1" x14ac:dyDescent="0.4">
      <c r="A661">
        <v>789</v>
      </c>
      <c r="B661" s="2"/>
      <c r="C661" s="4">
        <v>45908</v>
      </c>
      <c r="D661" s="5">
        <v>0.66666666666666663</v>
      </c>
      <c r="E661" s="5">
        <v>0.72916666666666663</v>
      </c>
      <c r="F661" s="2" t="s">
        <v>9</v>
      </c>
      <c r="G661" s="2" t="s">
        <v>10</v>
      </c>
      <c r="H661" s="2" t="s">
        <v>330</v>
      </c>
      <c r="I661" s="2" t="s">
        <v>331</v>
      </c>
      <c r="J661" s="2">
        <v>104855</v>
      </c>
      <c r="K661" s="2" t="s">
        <v>332</v>
      </c>
      <c r="L661" s="2" t="s">
        <v>18</v>
      </c>
      <c r="M661" t="str">
        <f>I661 &amp; " " &amp; K661</f>
        <v>Liza Loube</v>
      </c>
      <c r="Q661" t="str">
        <f t="shared" si="59"/>
        <v>104855lloube</v>
      </c>
    </row>
    <row r="662" spans="1:17" hidden="1" x14ac:dyDescent="0.4">
      <c r="A662">
        <v>791</v>
      </c>
      <c r="B662" s="2"/>
      <c r="C662" s="4">
        <v>45908</v>
      </c>
      <c r="D662" s="5">
        <v>0.58333333333333337</v>
      </c>
      <c r="E662" s="5">
        <v>0.64583333333333337</v>
      </c>
      <c r="F662" s="2" t="s">
        <v>9</v>
      </c>
      <c r="G662" s="2" t="s">
        <v>10</v>
      </c>
      <c r="H662" s="2" t="s">
        <v>330</v>
      </c>
      <c r="I662" s="2" t="s">
        <v>331</v>
      </c>
      <c r="J662" s="2">
        <v>104551</v>
      </c>
      <c r="K662" s="2" t="s">
        <v>332</v>
      </c>
      <c r="L662" s="2" t="s">
        <v>18</v>
      </c>
      <c r="M662" t="str">
        <f t="shared" ref="M662:M667" si="61">I662 &amp; " " &amp; K662</f>
        <v>Liza Loube</v>
      </c>
      <c r="Q662" t="str">
        <f t="shared" si="59"/>
        <v>104551lloube</v>
      </c>
    </row>
    <row r="663" spans="1:17" hidden="1" x14ac:dyDescent="0.4">
      <c r="A663">
        <v>792</v>
      </c>
      <c r="B663" s="2"/>
      <c r="C663" s="4">
        <v>45908</v>
      </c>
      <c r="D663" s="5">
        <v>0.47916666666666669</v>
      </c>
      <c r="E663" s="5">
        <v>0.54166666666666663</v>
      </c>
      <c r="F663" s="2" t="s">
        <v>9</v>
      </c>
      <c r="G663" s="2" t="s">
        <v>10</v>
      </c>
      <c r="H663" s="2" t="s">
        <v>330</v>
      </c>
      <c r="I663" s="2" t="s">
        <v>331</v>
      </c>
      <c r="J663" s="2">
        <v>104550</v>
      </c>
      <c r="K663" s="2" t="s">
        <v>332</v>
      </c>
      <c r="L663" s="2" t="s">
        <v>18</v>
      </c>
      <c r="M663" t="str">
        <f t="shared" si="61"/>
        <v>Liza Loube</v>
      </c>
      <c r="Q663" t="str">
        <f t="shared" si="59"/>
        <v>104550lloube</v>
      </c>
    </row>
    <row r="664" spans="1:17" hidden="1" x14ac:dyDescent="0.4">
      <c r="A664">
        <v>793</v>
      </c>
      <c r="B664" s="2"/>
      <c r="C664" s="4">
        <v>45908</v>
      </c>
      <c r="D664" s="5">
        <v>0.375</v>
      </c>
      <c r="E664" s="5">
        <v>0.4375</v>
      </c>
      <c r="F664" s="2" t="s">
        <v>9</v>
      </c>
      <c r="G664" s="2" t="s">
        <v>10</v>
      </c>
      <c r="H664" s="2" t="s">
        <v>330</v>
      </c>
      <c r="I664" s="2" t="s">
        <v>331</v>
      </c>
      <c r="J664" s="2">
        <v>102916</v>
      </c>
      <c r="K664" s="2" t="s">
        <v>332</v>
      </c>
      <c r="L664" s="2" t="s">
        <v>18</v>
      </c>
      <c r="M664" t="str">
        <f t="shared" si="61"/>
        <v>Liza Loube</v>
      </c>
      <c r="Q664" t="str">
        <f t="shared" si="59"/>
        <v>102916lloube</v>
      </c>
    </row>
    <row r="665" spans="1:17" hidden="1" x14ac:dyDescent="0.4">
      <c r="A665">
        <v>794</v>
      </c>
      <c r="B665" s="2"/>
      <c r="C665" s="4">
        <v>45909</v>
      </c>
      <c r="D665" s="5">
        <v>0.5</v>
      </c>
      <c r="E665" s="5">
        <v>0.54166666666666663</v>
      </c>
      <c r="F665" s="2" t="s">
        <v>9</v>
      </c>
      <c r="G665" s="2" t="s">
        <v>10</v>
      </c>
      <c r="H665" s="2" t="s">
        <v>360</v>
      </c>
      <c r="I665" s="2" t="s">
        <v>361</v>
      </c>
      <c r="J665" s="2">
        <v>102753</v>
      </c>
      <c r="K665" s="2" t="s">
        <v>362</v>
      </c>
      <c r="L665" s="2" t="s">
        <v>18</v>
      </c>
      <c r="M665" t="str">
        <f t="shared" si="61"/>
        <v>Manuela Bianchi</v>
      </c>
      <c r="Q665" t="str">
        <f t="shared" si="59"/>
        <v>102753mbianchi</v>
      </c>
    </row>
    <row r="666" spans="1:17" hidden="1" x14ac:dyDescent="0.4">
      <c r="A666">
        <v>795</v>
      </c>
      <c r="B666" s="2"/>
      <c r="C666" s="4">
        <v>45909</v>
      </c>
      <c r="D666" s="5">
        <v>0.5</v>
      </c>
      <c r="E666" s="5">
        <v>0.54166666666666663</v>
      </c>
      <c r="F666" s="2" t="s">
        <v>9</v>
      </c>
      <c r="G666" s="2" t="s">
        <v>10</v>
      </c>
      <c r="H666" s="2" t="s">
        <v>15</v>
      </c>
      <c r="I666" s="2" t="s">
        <v>16</v>
      </c>
      <c r="J666" s="2">
        <v>102753</v>
      </c>
      <c r="K666" s="2" t="s">
        <v>17</v>
      </c>
      <c r="L666" s="2" t="s">
        <v>18</v>
      </c>
      <c r="M666" t="str">
        <f t="shared" si="61"/>
        <v>Alphonse Bich</v>
      </c>
      <c r="Q666" t="str">
        <f t="shared" si="59"/>
        <v>102753abich</v>
      </c>
    </row>
    <row r="667" spans="1:17" hidden="1" x14ac:dyDescent="0.4">
      <c r="A667">
        <v>797</v>
      </c>
      <c r="B667" s="2"/>
      <c r="C667" s="4">
        <v>45908</v>
      </c>
      <c r="D667" s="5">
        <v>0.66666666666666663</v>
      </c>
      <c r="E667" s="5">
        <v>0.72916666666666663</v>
      </c>
      <c r="F667" s="2" t="s">
        <v>9</v>
      </c>
      <c r="G667" s="2" t="s">
        <v>10</v>
      </c>
      <c r="H667" s="2" t="s">
        <v>610</v>
      </c>
      <c r="I667" s="2" t="s">
        <v>611</v>
      </c>
      <c r="J667" s="2">
        <v>104855</v>
      </c>
      <c r="K667" s="2" t="s">
        <v>612</v>
      </c>
      <c r="L667" s="2" t="s">
        <v>18</v>
      </c>
      <c r="M667" t="str">
        <f t="shared" si="61"/>
        <v>Zhiqian Lyu</v>
      </c>
      <c r="Q667" t="str">
        <f t="shared" si="59"/>
        <v>104855zlyu</v>
      </c>
    </row>
    <row r="668" spans="1:17" hidden="1" x14ac:dyDescent="0.4">
      <c r="A668">
        <v>799</v>
      </c>
      <c r="B668" s="2"/>
      <c r="C668" s="4">
        <v>45908</v>
      </c>
      <c r="D668" s="5">
        <v>0.58333333333333337</v>
      </c>
      <c r="E668" s="5">
        <v>0.64583333333333337</v>
      </c>
      <c r="F668" s="2" t="s">
        <v>9</v>
      </c>
      <c r="G668" s="2" t="s">
        <v>10</v>
      </c>
      <c r="H668" s="2" t="s">
        <v>610</v>
      </c>
      <c r="I668" s="2" t="s">
        <v>611</v>
      </c>
      <c r="J668" s="2">
        <v>104551</v>
      </c>
      <c r="K668" s="2" t="s">
        <v>612</v>
      </c>
      <c r="L668" s="2" t="s">
        <v>18</v>
      </c>
      <c r="M668" t="str">
        <f>K668 &amp; " " &amp; I668</f>
        <v>Lyu Zhiqian</v>
      </c>
      <c r="Q668" t="str">
        <f t="shared" si="59"/>
        <v>104551zlyu</v>
      </c>
    </row>
    <row r="669" spans="1:17" hidden="1" x14ac:dyDescent="0.4">
      <c r="A669">
        <v>800</v>
      </c>
      <c r="B669" s="2"/>
      <c r="C669" s="4">
        <v>45908</v>
      </c>
      <c r="D669" s="5">
        <v>0.47916666666666669</v>
      </c>
      <c r="E669" s="5">
        <v>0.54166666666666663</v>
      </c>
      <c r="F669" s="2" t="s">
        <v>9</v>
      </c>
      <c r="G669" s="2" t="s">
        <v>10</v>
      </c>
      <c r="H669" s="2" t="s">
        <v>610</v>
      </c>
      <c r="I669" s="2" t="s">
        <v>611</v>
      </c>
      <c r="J669" s="2">
        <v>104550</v>
      </c>
      <c r="K669" s="2" t="s">
        <v>612</v>
      </c>
      <c r="L669" s="2" t="s">
        <v>18</v>
      </c>
      <c r="M669" t="str">
        <f>K669 &amp; " " &amp; I669</f>
        <v>Lyu Zhiqian</v>
      </c>
      <c r="Q669" t="str">
        <f t="shared" si="59"/>
        <v>104550zlyu</v>
      </c>
    </row>
    <row r="670" spans="1:17" hidden="1" x14ac:dyDescent="0.4">
      <c r="A670">
        <v>801</v>
      </c>
      <c r="B670" s="2"/>
      <c r="C670" s="4">
        <v>45908</v>
      </c>
      <c r="D670" s="5">
        <v>0.375</v>
      </c>
      <c r="E670" s="5">
        <v>0.4375</v>
      </c>
      <c r="F670" s="2" t="s">
        <v>9</v>
      </c>
      <c r="G670" s="2" t="s">
        <v>10</v>
      </c>
      <c r="H670" s="2" t="s">
        <v>610</v>
      </c>
      <c r="I670" s="2" t="s">
        <v>611</v>
      </c>
      <c r="J670" s="2">
        <v>102916</v>
      </c>
      <c r="K670" s="2" t="s">
        <v>612</v>
      </c>
      <c r="L670" s="2" t="s">
        <v>18</v>
      </c>
      <c r="M670" t="str">
        <f>K670 &amp; " " &amp; I670</f>
        <v>Lyu Zhiqian</v>
      </c>
      <c r="Q670" t="str">
        <f t="shared" si="59"/>
        <v>102916zlyu</v>
      </c>
    </row>
    <row r="671" spans="1:17" hidden="1" x14ac:dyDescent="0.4">
      <c r="A671">
        <v>802</v>
      </c>
      <c r="B671" s="2"/>
      <c r="C671" s="4">
        <v>45909</v>
      </c>
      <c r="D671" s="5">
        <v>0.5</v>
      </c>
      <c r="E671" s="5">
        <v>0.54166666666666663</v>
      </c>
      <c r="F671" s="2" t="s">
        <v>9</v>
      </c>
      <c r="G671" s="2" t="s">
        <v>10</v>
      </c>
      <c r="H671" s="2" t="s">
        <v>312</v>
      </c>
      <c r="I671" s="2" t="s">
        <v>313</v>
      </c>
      <c r="J671" s="2">
        <v>102753</v>
      </c>
      <c r="K671" s="2" t="s">
        <v>314</v>
      </c>
      <c r="L671" s="2" t="s">
        <v>18</v>
      </c>
      <c r="M671" t="str">
        <f>I671 &amp; " " &amp; K671</f>
        <v>Louis Bischoff</v>
      </c>
      <c r="Q671" t="str">
        <f t="shared" si="59"/>
        <v>102753lbischoff1</v>
      </c>
    </row>
    <row r="672" spans="1:17" hidden="1" x14ac:dyDescent="0.4">
      <c r="A672">
        <v>803</v>
      </c>
      <c r="B672" s="2"/>
      <c r="C672" s="4">
        <v>45909</v>
      </c>
      <c r="D672" s="5">
        <v>0.5</v>
      </c>
      <c r="E672" s="5">
        <v>0.54166666666666663</v>
      </c>
      <c r="F672" s="2" t="s">
        <v>9</v>
      </c>
      <c r="G672" s="2" t="s">
        <v>10</v>
      </c>
      <c r="H672" s="2" t="s">
        <v>363</v>
      </c>
      <c r="I672" s="2" t="s">
        <v>203</v>
      </c>
      <c r="J672" s="2">
        <v>102753</v>
      </c>
      <c r="K672" s="2" t="s">
        <v>364</v>
      </c>
      <c r="L672" s="2" t="s">
        <v>18</v>
      </c>
      <c r="M672" t="str">
        <f t="shared" ref="M672:M676" si="62">K672 &amp; " " &amp; I672</f>
        <v>Blouet Martin</v>
      </c>
      <c r="Q672" t="str">
        <f t="shared" si="59"/>
        <v>102753mblouet</v>
      </c>
    </row>
    <row r="673" spans="1:17" hidden="1" x14ac:dyDescent="0.4">
      <c r="A673">
        <v>805</v>
      </c>
      <c r="B673" s="2"/>
      <c r="C673" s="4">
        <v>45908</v>
      </c>
      <c r="D673" s="5">
        <v>0.58333333333333337</v>
      </c>
      <c r="E673" s="5">
        <v>0.64583333333333337</v>
      </c>
      <c r="F673" s="2" t="s">
        <v>9</v>
      </c>
      <c r="G673" s="2" t="s">
        <v>10</v>
      </c>
      <c r="H673" s="2" t="s">
        <v>166</v>
      </c>
      <c r="I673" s="2" t="s">
        <v>167</v>
      </c>
      <c r="J673" s="2">
        <v>104551</v>
      </c>
      <c r="K673" s="2" t="s">
        <v>168</v>
      </c>
      <c r="L673" s="2" t="s">
        <v>14</v>
      </c>
      <c r="M673" t="str">
        <f t="shared" si="62"/>
        <v>Mamane Esther</v>
      </c>
      <c r="Q673" t="str">
        <f t="shared" si="59"/>
        <v>104551emamane</v>
      </c>
    </row>
    <row r="674" spans="1:17" hidden="1" x14ac:dyDescent="0.4">
      <c r="A674">
        <v>806</v>
      </c>
      <c r="B674" s="2"/>
      <c r="C674" s="4">
        <v>45908</v>
      </c>
      <c r="D674" s="5">
        <v>0.47916666666666669</v>
      </c>
      <c r="E674" s="5">
        <v>0.54166666666666663</v>
      </c>
      <c r="F674" s="2" t="s">
        <v>9</v>
      </c>
      <c r="G674" s="2" t="s">
        <v>10</v>
      </c>
      <c r="H674" s="2" t="s">
        <v>166</v>
      </c>
      <c r="I674" s="2" t="s">
        <v>167</v>
      </c>
      <c r="J674" s="2">
        <v>104550</v>
      </c>
      <c r="K674" s="2" t="s">
        <v>168</v>
      </c>
      <c r="L674" s="2" t="s">
        <v>14</v>
      </c>
      <c r="M674" t="str">
        <f t="shared" si="62"/>
        <v>Mamane Esther</v>
      </c>
      <c r="Q674" t="str">
        <f t="shared" si="59"/>
        <v>104550emamane</v>
      </c>
    </row>
    <row r="675" spans="1:17" hidden="1" x14ac:dyDescent="0.4">
      <c r="A675">
        <v>807</v>
      </c>
      <c r="B675" s="2"/>
      <c r="C675" s="4">
        <v>45908</v>
      </c>
      <c r="D675" s="5">
        <v>0.375</v>
      </c>
      <c r="E675" s="5">
        <v>0.4375</v>
      </c>
      <c r="F675" s="2" t="s">
        <v>9</v>
      </c>
      <c r="G675" s="2" t="s">
        <v>10</v>
      </c>
      <c r="H675" s="2" t="s">
        <v>166</v>
      </c>
      <c r="I675" s="2" t="s">
        <v>167</v>
      </c>
      <c r="J675" s="2">
        <v>102916</v>
      </c>
      <c r="K675" s="2" t="s">
        <v>168</v>
      </c>
      <c r="L675" s="2" t="s">
        <v>18</v>
      </c>
      <c r="M675" t="str">
        <f t="shared" si="62"/>
        <v>Mamane Esther</v>
      </c>
      <c r="Q675" t="str">
        <f t="shared" si="59"/>
        <v>102916emamane</v>
      </c>
    </row>
    <row r="676" spans="1:17" hidden="1" x14ac:dyDescent="0.4">
      <c r="A676">
        <v>808</v>
      </c>
      <c r="B676" s="2"/>
      <c r="C676" s="4">
        <v>45909</v>
      </c>
      <c r="D676" s="5">
        <v>0.5</v>
      </c>
      <c r="E676" s="5">
        <v>0.54166666666666663</v>
      </c>
      <c r="F676" s="2" t="s">
        <v>9</v>
      </c>
      <c r="G676" s="2" t="s">
        <v>10</v>
      </c>
      <c r="H676" s="2" t="s">
        <v>19</v>
      </c>
      <c r="I676" s="2" t="s">
        <v>20</v>
      </c>
      <c r="J676" s="2">
        <v>102753</v>
      </c>
      <c r="K676" s="2" t="s">
        <v>21</v>
      </c>
      <c r="L676" s="2" t="s">
        <v>14</v>
      </c>
      <c r="M676" t="str">
        <f t="shared" si="62"/>
        <v>Bomont Albert</v>
      </c>
      <c r="Q676" t="str">
        <f t="shared" si="59"/>
        <v>102753abomont</v>
      </c>
    </row>
    <row r="677" spans="1:17" hidden="1" x14ac:dyDescent="0.4">
      <c r="A677">
        <v>809</v>
      </c>
      <c r="B677" s="2"/>
      <c r="C677" s="4">
        <v>45909</v>
      </c>
      <c r="D677" s="5">
        <v>0.5</v>
      </c>
      <c r="E677" s="5">
        <v>0.54166666666666663</v>
      </c>
      <c r="F677" s="2" t="s">
        <v>9</v>
      </c>
      <c r="G677" s="2" t="s">
        <v>10</v>
      </c>
      <c r="H677" s="2" t="s">
        <v>125</v>
      </c>
      <c r="I677" s="2" t="s">
        <v>126</v>
      </c>
      <c r="J677" s="2">
        <v>102753</v>
      </c>
      <c r="K677" s="2" t="s">
        <v>127</v>
      </c>
      <c r="L677" s="2" t="s">
        <v>18</v>
      </c>
      <c r="M677" t="str">
        <f>I677 &amp; " " &amp; K677</f>
        <v>Derek Bondet de la Bernardie</v>
      </c>
      <c r="Q677" t="str">
        <f t="shared" si="59"/>
        <v>102753dbondetdelabernardie</v>
      </c>
    </row>
    <row r="678" spans="1:17" hidden="1" x14ac:dyDescent="0.4">
      <c r="A678">
        <v>810</v>
      </c>
      <c r="B678" s="2"/>
      <c r="C678" s="4">
        <v>45908</v>
      </c>
      <c r="D678" s="5">
        <v>0.66666666666666663</v>
      </c>
      <c r="E678" s="5">
        <v>0.72916666666666663</v>
      </c>
      <c r="F678" s="2" t="s">
        <v>9</v>
      </c>
      <c r="G678" s="2" t="s">
        <v>10</v>
      </c>
      <c r="H678" s="2" t="s">
        <v>65</v>
      </c>
      <c r="I678" s="2" t="s">
        <v>66</v>
      </c>
      <c r="J678" s="2">
        <v>104855</v>
      </c>
      <c r="K678" s="2" t="s">
        <v>67</v>
      </c>
      <c r="L678" s="2" t="s">
        <v>18</v>
      </c>
      <c r="M678" t="str">
        <f>I678 &amp; " " &amp; K678</f>
        <v>Adélaïde Mansart</v>
      </c>
      <c r="Q678" t="str">
        <f t="shared" si="59"/>
        <v>104855amansart</v>
      </c>
    </row>
    <row r="679" spans="1:17" hidden="1" x14ac:dyDescent="0.4">
      <c r="A679">
        <v>812</v>
      </c>
      <c r="B679" s="2"/>
      <c r="C679" s="4">
        <v>45908</v>
      </c>
      <c r="D679" s="5">
        <v>0.58333333333333337</v>
      </c>
      <c r="E679" s="5">
        <v>0.64583333333333337</v>
      </c>
      <c r="F679" s="2" t="s">
        <v>9</v>
      </c>
      <c r="G679" s="2" t="s">
        <v>10</v>
      </c>
      <c r="H679" s="2" t="s">
        <v>65</v>
      </c>
      <c r="I679" s="2" t="s">
        <v>66</v>
      </c>
      <c r="J679" s="2">
        <v>104551</v>
      </c>
      <c r="K679" s="2" t="s">
        <v>67</v>
      </c>
      <c r="L679" s="2" t="s">
        <v>18</v>
      </c>
      <c r="M679" t="str">
        <f>I679 &amp; " " &amp; K679</f>
        <v>Adélaïde Mansart</v>
      </c>
      <c r="Q679" t="str">
        <f t="shared" si="59"/>
        <v>104551amansart</v>
      </c>
    </row>
    <row r="680" spans="1:17" hidden="1" x14ac:dyDescent="0.4">
      <c r="A680">
        <v>813</v>
      </c>
      <c r="B680" s="2"/>
      <c r="C680" s="4">
        <v>45908</v>
      </c>
      <c r="D680" s="5">
        <v>0.47916666666666669</v>
      </c>
      <c r="E680" s="5">
        <v>0.54166666666666663</v>
      </c>
      <c r="F680" s="2" t="s">
        <v>9</v>
      </c>
      <c r="G680" s="2" t="s">
        <v>10</v>
      </c>
      <c r="H680" s="2" t="s">
        <v>65</v>
      </c>
      <c r="I680" s="2" t="s">
        <v>66</v>
      </c>
      <c r="J680" s="2">
        <v>104550</v>
      </c>
      <c r="K680" s="2" t="s">
        <v>67</v>
      </c>
      <c r="L680" s="2" t="s">
        <v>18</v>
      </c>
      <c r="M680" t="str">
        <f>I680 &amp; " " &amp; K680</f>
        <v>Adélaïde Mansart</v>
      </c>
      <c r="Q680" t="str">
        <f t="shared" si="59"/>
        <v>104550amansart</v>
      </c>
    </row>
    <row r="681" spans="1:17" hidden="1" x14ac:dyDescent="0.4">
      <c r="A681">
        <v>814</v>
      </c>
      <c r="B681" s="2"/>
      <c r="C681" s="4">
        <v>45908</v>
      </c>
      <c r="D681" s="5">
        <v>0.375</v>
      </c>
      <c r="E681" s="5">
        <v>0.4375</v>
      </c>
      <c r="F681" s="2" t="s">
        <v>9</v>
      </c>
      <c r="G681" s="2" t="s">
        <v>10</v>
      </c>
      <c r="H681" s="2" t="s">
        <v>65</v>
      </c>
      <c r="I681" s="2" t="s">
        <v>66</v>
      </c>
      <c r="J681" s="2">
        <v>102916</v>
      </c>
      <c r="K681" s="2" t="s">
        <v>67</v>
      </c>
      <c r="L681" s="2" t="s">
        <v>18</v>
      </c>
      <c r="M681" t="str">
        <f>K681 &amp; " " &amp; I681</f>
        <v>Mansart Adélaïde</v>
      </c>
      <c r="Q681" t="str">
        <f t="shared" si="59"/>
        <v>102916amansart</v>
      </c>
    </row>
    <row r="682" spans="1:17" hidden="1" x14ac:dyDescent="0.4">
      <c r="A682">
        <v>815</v>
      </c>
      <c r="B682" s="2"/>
      <c r="C682" s="4">
        <v>45909</v>
      </c>
      <c r="D682" s="5">
        <v>0.5</v>
      </c>
      <c r="E682" s="5">
        <v>0.54166666666666663</v>
      </c>
      <c r="F682" s="2" t="s">
        <v>9</v>
      </c>
      <c r="G682" s="2" t="s">
        <v>10</v>
      </c>
      <c r="H682" s="2" t="s">
        <v>315</v>
      </c>
      <c r="I682" s="2" t="s">
        <v>310</v>
      </c>
      <c r="J682" s="2">
        <v>102753</v>
      </c>
      <c r="K682" s="2" t="s">
        <v>316</v>
      </c>
      <c r="L682" s="2" t="s">
        <v>18</v>
      </c>
      <c r="M682" t="str">
        <f>I682 &amp; " " &amp; K682</f>
        <v>Lucas Bressoux</v>
      </c>
      <c r="Q682" t="str">
        <f t="shared" si="59"/>
        <v>102753lbressoux</v>
      </c>
    </row>
    <row r="683" spans="1:17" hidden="1" x14ac:dyDescent="0.4">
      <c r="A683">
        <v>816</v>
      </c>
      <c r="B683" s="2"/>
      <c r="C683" s="4">
        <v>45909</v>
      </c>
      <c r="D683" s="5">
        <v>0.5</v>
      </c>
      <c r="E683" s="5">
        <v>0.54166666666666663</v>
      </c>
      <c r="F683" s="2" t="s">
        <v>9</v>
      </c>
      <c r="G683" s="2" t="s">
        <v>10</v>
      </c>
      <c r="H683" s="2" t="s">
        <v>96</v>
      </c>
      <c r="I683" s="2" t="s">
        <v>97</v>
      </c>
      <c r="J683" s="2">
        <v>102753</v>
      </c>
      <c r="K683" s="2" t="s">
        <v>98</v>
      </c>
      <c r="L683" s="2" t="s">
        <v>18</v>
      </c>
      <c r="M683" t="str">
        <f>I683 &amp; " " &amp; K683</f>
        <v>Clément Brunet</v>
      </c>
      <c r="Q683" t="str">
        <f t="shared" si="59"/>
        <v>102753cbrunet</v>
      </c>
    </row>
    <row r="684" spans="1:17" hidden="1" x14ac:dyDescent="0.4">
      <c r="A684">
        <v>817</v>
      </c>
      <c r="B684" s="2"/>
      <c r="C684" s="4">
        <v>45908</v>
      </c>
      <c r="D684" s="5">
        <v>0.66666666666666663</v>
      </c>
      <c r="E684" s="5">
        <v>0.72916666666666663</v>
      </c>
      <c r="F684" s="2" t="s">
        <v>9</v>
      </c>
      <c r="G684" s="2" t="s">
        <v>10</v>
      </c>
      <c r="H684" s="2" t="s">
        <v>371</v>
      </c>
      <c r="I684" s="2" t="s">
        <v>372</v>
      </c>
      <c r="J684" s="2">
        <v>104855</v>
      </c>
      <c r="K684" s="2" t="s">
        <v>373</v>
      </c>
      <c r="L684" s="2" t="s">
        <v>18</v>
      </c>
      <c r="M684" t="str">
        <f t="shared" ref="M684:M688" si="63">K684 &amp; " " &amp; I684</f>
        <v>Marchès--Saury Milo</v>
      </c>
      <c r="Q684" t="str">
        <f t="shared" si="59"/>
        <v>104855mmarchessaury</v>
      </c>
    </row>
    <row r="685" spans="1:17" hidden="1" x14ac:dyDescent="0.4">
      <c r="A685">
        <v>819</v>
      </c>
      <c r="B685" s="2"/>
      <c r="C685" s="4">
        <v>45908</v>
      </c>
      <c r="D685" s="5">
        <v>0.58333333333333337</v>
      </c>
      <c r="E685" s="5">
        <v>0.64583333333333337</v>
      </c>
      <c r="F685" s="2" t="s">
        <v>9</v>
      </c>
      <c r="G685" s="2" t="s">
        <v>10</v>
      </c>
      <c r="H685" s="2" t="s">
        <v>371</v>
      </c>
      <c r="I685" s="2" t="s">
        <v>372</v>
      </c>
      <c r="J685" s="2">
        <v>104551</v>
      </c>
      <c r="K685" s="2" t="s">
        <v>373</v>
      </c>
      <c r="L685" s="2" t="s">
        <v>18</v>
      </c>
      <c r="M685" t="str">
        <f t="shared" si="63"/>
        <v>Marchès--Saury Milo</v>
      </c>
      <c r="Q685" t="str">
        <f t="shared" si="59"/>
        <v>104551mmarchessaury</v>
      </c>
    </row>
    <row r="686" spans="1:17" hidden="1" x14ac:dyDescent="0.4">
      <c r="A686">
        <v>820</v>
      </c>
      <c r="B686" s="2"/>
      <c r="C686" s="4">
        <v>45908</v>
      </c>
      <c r="D686" s="5">
        <v>0.47916666666666669</v>
      </c>
      <c r="E686" s="5">
        <v>0.54166666666666663</v>
      </c>
      <c r="F686" s="2" t="s">
        <v>9</v>
      </c>
      <c r="G686" s="2" t="s">
        <v>10</v>
      </c>
      <c r="H686" s="2" t="s">
        <v>371</v>
      </c>
      <c r="I686" s="2" t="s">
        <v>372</v>
      </c>
      <c r="J686" s="2">
        <v>104550</v>
      </c>
      <c r="K686" s="2" t="s">
        <v>373</v>
      </c>
      <c r="L686" s="2" t="s">
        <v>18</v>
      </c>
      <c r="M686" t="str">
        <f t="shared" si="63"/>
        <v>Marchès--Saury Milo</v>
      </c>
      <c r="Q686" t="str">
        <f t="shared" si="59"/>
        <v>104550mmarchessaury</v>
      </c>
    </row>
    <row r="687" spans="1:17" hidden="1" x14ac:dyDescent="0.4">
      <c r="A687">
        <v>821</v>
      </c>
      <c r="B687" s="2"/>
      <c r="C687" s="4">
        <v>45908</v>
      </c>
      <c r="D687" s="5">
        <v>0.375</v>
      </c>
      <c r="E687" s="5">
        <v>0.4375</v>
      </c>
      <c r="F687" s="2" t="s">
        <v>9</v>
      </c>
      <c r="G687" s="2" t="s">
        <v>10</v>
      </c>
      <c r="H687" s="2" t="s">
        <v>371</v>
      </c>
      <c r="I687" s="2" t="s">
        <v>372</v>
      </c>
      <c r="J687" s="2">
        <v>102916</v>
      </c>
      <c r="K687" s="2" t="s">
        <v>373</v>
      </c>
      <c r="L687" s="2" t="s">
        <v>18</v>
      </c>
      <c r="M687" t="str">
        <f t="shared" si="63"/>
        <v>Marchès--Saury Milo</v>
      </c>
      <c r="Q687" t="str">
        <f t="shared" si="59"/>
        <v>102916mmarchessaury</v>
      </c>
    </row>
    <row r="688" spans="1:17" hidden="1" x14ac:dyDescent="0.4">
      <c r="A688">
        <v>822</v>
      </c>
      <c r="B688" s="2"/>
      <c r="C688" s="4">
        <v>45909</v>
      </c>
      <c r="D688" s="5">
        <v>0.5</v>
      </c>
      <c r="E688" s="5">
        <v>0.54166666666666663</v>
      </c>
      <c r="F688" s="2" t="s">
        <v>9</v>
      </c>
      <c r="G688" s="2" t="s">
        <v>10</v>
      </c>
      <c r="H688" s="2" t="s">
        <v>128</v>
      </c>
      <c r="I688" s="2" t="s">
        <v>129</v>
      </c>
      <c r="J688" s="2">
        <v>102753</v>
      </c>
      <c r="K688" s="2" t="s">
        <v>130</v>
      </c>
      <c r="L688" s="2" t="s">
        <v>14</v>
      </c>
      <c r="M688" t="str">
        <f t="shared" si="63"/>
        <v>Canada Gutierrez Diego</v>
      </c>
      <c r="Q688" t="str">
        <f t="shared" si="59"/>
        <v>102753dcanadagutierrez</v>
      </c>
    </row>
    <row r="689" spans="1:17" hidden="1" x14ac:dyDescent="0.4">
      <c r="A689">
        <v>823</v>
      </c>
      <c r="B689" s="2"/>
      <c r="C689" s="4">
        <v>45909</v>
      </c>
      <c r="D689" s="5">
        <v>0.5</v>
      </c>
      <c r="E689" s="5">
        <v>0.54166666666666663</v>
      </c>
      <c r="F689" s="2" t="s">
        <v>9</v>
      </c>
      <c r="G689" s="2" t="s">
        <v>10</v>
      </c>
      <c r="H689" s="2" t="s">
        <v>190</v>
      </c>
      <c r="I689" s="2" t="s">
        <v>191</v>
      </c>
      <c r="J689" s="2">
        <v>102753</v>
      </c>
      <c r="K689" s="2" t="s">
        <v>192</v>
      </c>
      <c r="L689" s="2" t="s">
        <v>18</v>
      </c>
      <c r="M689" t="str">
        <f>I689 &amp; " " &amp; K689</f>
        <v>Félix Cantau</v>
      </c>
      <c r="Q689" t="str">
        <f t="shared" si="59"/>
        <v>102753fcantau</v>
      </c>
    </row>
    <row r="690" spans="1:17" hidden="1" x14ac:dyDescent="0.4">
      <c r="A690">
        <v>824</v>
      </c>
      <c r="B690" s="2"/>
      <c r="C690" s="4">
        <v>45908</v>
      </c>
      <c r="D690" s="5">
        <v>0.66666666666666663</v>
      </c>
      <c r="E690" s="5">
        <v>0.72916666666666663</v>
      </c>
      <c r="F690" s="2" t="s">
        <v>9</v>
      </c>
      <c r="G690" s="2" t="s">
        <v>10</v>
      </c>
      <c r="H690" s="2" t="s">
        <v>202</v>
      </c>
      <c r="I690" s="2" t="s">
        <v>194</v>
      </c>
      <c r="J690" s="2">
        <v>104855</v>
      </c>
      <c r="K690" s="2" t="s">
        <v>203</v>
      </c>
      <c r="L690" s="2" t="s">
        <v>14</v>
      </c>
      <c r="M690" t="str">
        <f>K690 &amp; " " &amp; I690</f>
        <v>Martin Fanny</v>
      </c>
      <c r="Q690" t="str">
        <f t="shared" si="59"/>
        <v>104855fmartin2</v>
      </c>
    </row>
    <row r="691" spans="1:17" hidden="1" x14ac:dyDescent="0.4">
      <c r="A691">
        <v>826</v>
      </c>
      <c r="B691" s="2"/>
      <c r="C691" s="4">
        <v>45908</v>
      </c>
      <c r="D691" s="5">
        <v>0.58333333333333337</v>
      </c>
      <c r="E691" s="5">
        <v>0.64583333333333337</v>
      </c>
      <c r="F691" s="2" t="s">
        <v>9</v>
      </c>
      <c r="G691" s="2" t="s">
        <v>10</v>
      </c>
      <c r="H691" s="2" t="s">
        <v>202</v>
      </c>
      <c r="I691" s="2" t="s">
        <v>194</v>
      </c>
      <c r="J691" s="2">
        <v>104551</v>
      </c>
      <c r="K691" s="2" t="s">
        <v>203</v>
      </c>
      <c r="L691" s="2" t="s">
        <v>14</v>
      </c>
      <c r="M691" t="str">
        <f>K691 &amp; " " &amp; I691</f>
        <v>Martin Fanny</v>
      </c>
      <c r="Q691" t="str">
        <f t="shared" si="59"/>
        <v>104551fmartin2</v>
      </c>
    </row>
    <row r="692" spans="1:17" hidden="1" x14ac:dyDescent="0.4">
      <c r="A692">
        <v>827</v>
      </c>
      <c r="B692" s="2"/>
      <c r="C692" s="4">
        <v>45908</v>
      </c>
      <c r="D692" s="5">
        <v>0.47916666666666669</v>
      </c>
      <c r="E692" s="5">
        <v>0.54166666666666663</v>
      </c>
      <c r="F692" s="2" t="s">
        <v>9</v>
      </c>
      <c r="G692" s="2" t="s">
        <v>10</v>
      </c>
      <c r="H692" s="2" t="s">
        <v>202</v>
      </c>
      <c r="I692" s="2" t="s">
        <v>194</v>
      </c>
      <c r="J692" s="2">
        <v>104550</v>
      </c>
      <c r="K692" s="2" t="s">
        <v>203</v>
      </c>
      <c r="L692" s="2" t="s">
        <v>14</v>
      </c>
      <c r="M692" t="str">
        <f>K692 &amp; " " &amp; I692</f>
        <v>Martin Fanny</v>
      </c>
      <c r="Q692" t="str">
        <f t="shared" si="59"/>
        <v>104550fmartin2</v>
      </c>
    </row>
    <row r="693" spans="1:17" hidden="1" x14ac:dyDescent="0.4">
      <c r="A693">
        <v>828</v>
      </c>
      <c r="B693" s="2"/>
      <c r="C693" s="4">
        <v>45908</v>
      </c>
      <c r="D693" s="5">
        <v>0.375</v>
      </c>
      <c r="E693" s="5">
        <v>0.4375</v>
      </c>
      <c r="F693" s="2" t="s">
        <v>9</v>
      </c>
      <c r="G693" s="2" t="s">
        <v>10</v>
      </c>
      <c r="H693" s="2" t="s">
        <v>202</v>
      </c>
      <c r="I693" s="2" t="s">
        <v>194</v>
      </c>
      <c r="J693" s="2">
        <v>102916</v>
      </c>
      <c r="K693" s="2" t="s">
        <v>203</v>
      </c>
      <c r="L693" s="2" t="s">
        <v>14</v>
      </c>
      <c r="M693" t="str">
        <f>K693 &amp; " " &amp; I693</f>
        <v>Martin Fanny</v>
      </c>
      <c r="Q693" t="str">
        <f t="shared" si="59"/>
        <v>102916fmartin2</v>
      </c>
    </row>
    <row r="694" spans="1:17" hidden="1" x14ac:dyDescent="0.4">
      <c r="A694">
        <v>829</v>
      </c>
      <c r="B694" s="2"/>
      <c r="C694" s="4">
        <v>45909</v>
      </c>
      <c r="D694" s="5">
        <v>0.5</v>
      </c>
      <c r="E694" s="5">
        <v>0.54166666666666663</v>
      </c>
      <c r="F694" s="2" t="s">
        <v>9</v>
      </c>
      <c r="G694" s="2" t="s">
        <v>10</v>
      </c>
      <c r="H694" s="2" t="s">
        <v>22</v>
      </c>
      <c r="I694" s="2" t="s">
        <v>23</v>
      </c>
      <c r="J694" s="2">
        <v>102753</v>
      </c>
      <c r="K694" s="2" t="s">
        <v>24</v>
      </c>
      <c r="L694" s="2" t="s">
        <v>18</v>
      </c>
      <c r="M694" t="str">
        <f>I694 &amp; " " &amp; K694</f>
        <v>Anaïs Carde</v>
      </c>
      <c r="Q694" t="str">
        <f t="shared" si="59"/>
        <v>102753acarde</v>
      </c>
    </row>
    <row r="695" spans="1:17" hidden="1" x14ac:dyDescent="0.4">
      <c r="A695">
        <v>830</v>
      </c>
      <c r="B695" s="2"/>
      <c r="C695" s="4">
        <v>45909</v>
      </c>
      <c r="D695" s="5">
        <v>0.5</v>
      </c>
      <c r="E695" s="5">
        <v>0.54166666666666663</v>
      </c>
      <c r="F695" s="2" t="s">
        <v>9</v>
      </c>
      <c r="G695" s="2" t="s">
        <v>10</v>
      </c>
      <c r="H695" s="2" t="s">
        <v>145</v>
      </c>
      <c r="I695" s="2" t="s">
        <v>146</v>
      </c>
      <c r="J695" s="2">
        <v>102753</v>
      </c>
      <c r="K695" s="2" t="s">
        <v>147</v>
      </c>
      <c r="L695" s="2" t="s">
        <v>14</v>
      </c>
      <c r="M695" t="str">
        <f t="shared" ref="M695:M699" si="64">K695 &amp; " " &amp; I695</f>
        <v>Caron Etienne</v>
      </c>
      <c r="Q695" t="str">
        <f t="shared" si="59"/>
        <v>102753ecaron</v>
      </c>
    </row>
    <row r="696" spans="1:17" hidden="1" x14ac:dyDescent="0.4">
      <c r="A696">
        <v>831</v>
      </c>
      <c r="B696" s="2"/>
      <c r="C696" s="4">
        <v>45908</v>
      </c>
      <c r="D696" s="5">
        <v>0.66666666666666663</v>
      </c>
      <c r="E696" s="5">
        <v>0.72916666666666663</v>
      </c>
      <c r="F696" s="2" t="s">
        <v>9</v>
      </c>
      <c r="G696" s="2" t="s">
        <v>10</v>
      </c>
      <c r="H696" s="2" t="s">
        <v>333</v>
      </c>
      <c r="I696" s="2" t="s">
        <v>334</v>
      </c>
      <c r="J696" s="2">
        <v>104855</v>
      </c>
      <c r="K696" s="2" t="s">
        <v>335</v>
      </c>
      <c r="L696" s="2" t="s">
        <v>14</v>
      </c>
      <c r="M696" t="str">
        <f t="shared" si="64"/>
        <v>Maudry Lauriane</v>
      </c>
      <c r="Q696" t="str">
        <f t="shared" si="59"/>
        <v>104855lmaudry</v>
      </c>
    </row>
    <row r="697" spans="1:17" hidden="1" x14ac:dyDescent="0.4">
      <c r="A697">
        <v>833</v>
      </c>
      <c r="B697" s="2"/>
      <c r="C697" s="4">
        <v>45908</v>
      </c>
      <c r="D697" s="5">
        <v>0.58333333333333337</v>
      </c>
      <c r="E697" s="5">
        <v>0.64583333333333337</v>
      </c>
      <c r="F697" s="2" t="s">
        <v>9</v>
      </c>
      <c r="G697" s="2" t="s">
        <v>10</v>
      </c>
      <c r="H697" s="2" t="s">
        <v>333</v>
      </c>
      <c r="I697" s="2" t="s">
        <v>334</v>
      </c>
      <c r="J697" s="2">
        <v>104551</v>
      </c>
      <c r="K697" s="2" t="s">
        <v>335</v>
      </c>
      <c r="L697" s="2" t="s">
        <v>14</v>
      </c>
      <c r="M697" t="str">
        <f t="shared" si="64"/>
        <v>Maudry Lauriane</v>
      </c>
      <c r="Q697" t="str">
        <f t="shared" si="59"/>
        <v>104551lmaudry</v>
      </c>
    </row>
    <row r="698" spans="1:17" hidden="1" x14ac:dyDescent="0.4">
      <c r="A698">
        <v>834</v>
      </c>
      <c r="B698" s="2"/>
      <c r="C698" s="4">
        <v>45908</v>
      </c>
      <c r="D698" s="5">
        <v>0.47916666666666669</v>
      </c>
      <c r="E698" s="5">
        <v>0.54166666666666663</v>
      </c>
      <c r="F698" s="2" t="s">
        <v>9</v>
      </c>
      <c r="G698" s="2" t="s">
        <v>10</v>
      </c>
      <c r="H698" s="2" t="s">
        <v>333</v>
      </c>
      <c r="I698" s="2" t="s">
        <v>334</v>
      </c>
      <c r="J698" s="2">
        <v>104550</v>
      </c>
      <c r="K698" s="2" t="s">
        <v>335</v>
      </c>
      <c r="L698" s="2" t="s">
        <v>14</v>
      </c>
      <c r="M698" t="str">
        <f t="shared" si="64"/>
        <v>Maudry Lauriane</v>
      </c>
      <c r="Q698" t="str">
        <f t="shared" ref="Q698:Q751" si="65">J698&amp;H698</f>
        <v>104550lmaudry</v>
      </c>
    </row>
    <row r="699" spans="1:17" hidden="1" x14ac:dyDescent="0.4">
      <c r="A699">
        <v>835</v>
      </c>
      <c r="B699" s="2"/>
      <c r="C699" s="4">
        <v>45908</v>
      </c>
      <c r="D699" s="5">
        <v>0.375</v>
      </c>
      <c r="E699" s="5">
        <v>0.4375</v>
      </c>
      <c r="F699" s="2" t="s">
        <v>9</v>
      </c>
      <c r="G699" s="2" t="s">
        <v>10</v>
      </c>
      <c r="H699" s="2" t="s">
        <v>333</v>
      </c>
      <c r="I699" s="2" t="s">
        <v>334</v>
      </c>
      <c r="J699" s="2">
        <v>102916</v>
      </c>
      <c r="K699" s="2" t="s">
        <v>335</v>
      </c>
      <c r="L699" s="2" t="s">
        <v>14</v>
      </c>
      <c r="M699" t="str">
        <f t="shared" si="64"/>
        <v>Maudry Lauriane</v>
      </c>
      <c r="Q699" t="str">
        <f t="shared" si="65"/>
        <v>102916lmaudry</v>
      </c>
    </row>
    <row r="700" spans="1:17" hidden="1" x14ac:dyDescent="0.4">
      <c r="A700">
        <v>836</v>
      </c>
      <c r="B700" s="2"/>
      <c r="C700" s="4">
        <v>45909</v>
      </c>
      <c r="D700" s="5">
        <v>0.5</v>
      </c>
      <c r="E700" s="5">
        <v>0.54166666666666663</v>
      </c>
      <c r="F700" s="2" t="s">
        <v>9</v>
      </c>
      <c r="G700" s="2" t="s">
        <v>10</v>
      </c>
      <c r="H700" s="2" t="s">
        <v>193</v>
      </c>
      <c r="I700" s="2" t="s">
        <v>194</v>
      </c>
      <c r="J700" s="2">
        <v>102753</v>
      </c>
      <c r="K700" s="2" t="s">
        <v>195</v>
      </c>
      <c r="L700" s="2" t="s">
        <v>18</v>
      </c>
      <c r="M700" t="str">
        <f>I700 &amp; " " &amp; K700</f>
        <v>Fanny Casati--Lewandowski</v>
      </c>
      <c r="Q700" t="str">
        <f t="shared" si="65"/>
        <v>102753fcasatilewandowski</v>
      </c>
    </row>
    <row r="701" spans="1:17" hidden="1" x14ac:dyDescent="0.4">
      <c r="A701">
        <v>837</v>
      </c>
      <c r="B701" s="2"/>
      <c r="C701" s="4">
        <v>45909</v>
      </c>
      <c r="D701" s="5">
        <v>0.5</v>
      </c>
      <c r="E701" s="5">
        <v>0.54166666666666663</v>
      </c>
      <c r="F701" s="2" t="s">
        <v>9</v>
      </c>
      <c r="G701" s="2" t="s">
        <v>10</v>
      </c>
      <c r="H701" s="2" t="s">
        <v>266</v>
      </c>
      <c r="I701" s="2" t="s">
        <v>267</v>
      </c>
      <c r="J701" s="2">
        <v>102753</v>
      </c>
      <c r="K701" s="2" t="s">
        <v>268</v>
      </c>
      <c r="L701" s="2" t="s">
        <v>18</v>
      </c>
      <c r="M701" t="str">
        <f>I701 &amp; " " &amp; K701</f>
        <v>Jean Cé</v>
      </c>
      <c r="Q701" t="str">
        <f t="shared" si="65"/>
        <v>102753jce</v>
      </c>
    </row>
    <row r="702" spans="1:17" hidden="1" x14ac:dyDescent="0.4">
      <c r="A702">
        <v>838</v>
      </c>
      <c r="B702" s="2"/>
      <c r="C702" s="4">
        <v>45908</v>
      </c>
      <c r="D702" s="5">
        <v>0.66666666666666663</v>
      </c>
      <c r="E702" s="5">
        <v>0.72916666666666663</v>
      </c>
      <c r="F702" s="2" t="s">
        <v>9</v>
      </c>
      <c r="G702" s="2" t="s">
        <v>10</v>
      </c>
      <c r="H702" s="2" t="s">
        <v>169</v>
      </c>
      <c r="I702" s="2" t="s">
        <v>170</v>
      </c>
      <c r="J702" s="2">
        <v>104855</v>
      </c>
      <c r="K702" s="2" t="s">
        <v>171</v>
      </c>
      <c r="L702" s="2" t="s">
        <v>18</v>
      </c>
      <c r="M702" t="str">
        <f>K702 &amp; " " &amp; I702</f>
        <v>Meens Éléonore</v>
      </c>
      <c r="Q702" t="str">
        <f t="shared" si="65"/>
        <v>104855emeens</v>
      </c>
    </row>
    <row r="703" spans="1:17" hidden="1" x14ac:dyDescent="0.4">
      <c r="A703">
        <v>840</v>
      </c>
      <c r="B703" s="2"/>
      <c r="C703" s="4">
        <v>45908</v>
      </c>
      <c r="D703" s="5">
        <v>0.58333333333333337</v>
      </c>
      <c r="E703" s="5">
        <v>0.64583333333333337</v>
      </c>
      <c r="F703" s="2" t="s">
        <v>9</v>
      </c>
      <c r="G703" s="2" t="s">
        <v>10</v>
      </c>
      <c r="H703" s="2" t="s">
        <v>169</v>
      </c>
      <c r="I703" s="2" t="s">
        <v>170</v>
      </c>
      <c r="J703" s="2">
        <v>104551</v>
      </c>
      <c r="K703" s="2" t="s">
        <v>171</v>
      </c>
      <c r="L703" s="2" t="s">
        <v>18</v>
      </c>
      <c r="M703" t="str">
        <f>K703 &amp; " " &amp; I703</f>
        <v>Meens Éléonore</v>
      </c>
      <c r="Q703" t="str">
        <f t="shared" si="65"/>
        <v>104551emeens</v>
      </c>
    </row>
    <row r="704" spans="1:17" hidden="1" x14ac:dyDescent="0.4">
      <c r="A704">
        <v>841</v>
      </c>
      <c r="B704" s="2"/>
      <c r="C704" s="4">
        <v>45908</v>
      </c>
      <c r="D704" s="5">
        <v>0.47916666666666669</v>
      </c>
      <c r="E704" s="5">
        <v>0.54166666666666663</v>
      </c>
      <c r="F704" s="2" t="s">
        <v>9</v>
      </c>
      <c r="G704" s="2" t="s">
        <v>10</v>
      </c>
      <c r="H704" s="2" t="s">
        <v>169</v>
      </c>
      <c r="I704" s="2" t="s">
        <v>170</v>
      </c>
      <c r="J704" s="2">
        <v>104550</v>
      </c>
      <c r="K704" s="2" t="s">
        <v>171</v>
      </c>
      <c r="L704" s="2" t="s">
        <v>18</v>
      </c>
      <c r="M704" t="str">
        <f>K704 &amp; " " &amp; I704</f>
        <v>Meens Éléonore</v>
      </c>
      <c r="Q704" t="str">
        <f t="shared" si="65"/>
        <v>104550emeens</v>
      </c>
    </row>
    <row r="705" spans="1:17" hidden="1" x14ac:dyDescent="0.4">
      <c r="A705">
        <v>843</v>
      </c>
      <c r="B705" s="2"/>
      <c r="C705" s="4">
        <v>45909</v>
      </c>
      <c r="D705" s="5">
        <v>0.5</v>
      </c>
      <c r="E705" s="5">
        <v>0.54166666666666663</v>
      </c>
      <c r="F705" s="2" t="s">
        <v>9</v>
      </c>
      <c r="G705" s="2" t="s">
        <v>10</v>
      </c>
      <c r="H705" s="2" t="s">
        <v>269</v>
      </c>
      <c r="I705" s="2" t="s">
        <v>270</v>
      </c>
      <c r="J705" s="2">
        <v>102753</v>
      </c>
      <c r="K705" s="2" t="s">
        <v>271</v>
      </c>
      <c r="L705" s="2" t="s">
        <v>18</v>
      </c>
      <c r="M705" t="str">
        <f>I705 &amp; " " &amp; K705</f>
        <v>Jonas Charles</v>
      </c>
      <c r="Q705" t="str">
        <f t="shared" si="65"/>
        <v>102753jcharles2</v>
      </c>
    </row>
    <row r="706" spans="1:17" hidden="1" x14ac:dyDescent="0.4">
      <c r="A706">
        <v>844</v>
      </c>
      <c r="B706" s="2"/>
      <c r="C706" s="4">
        <v>45909</v>
      </c>
      <c r="D706" s="5">
        <v>0.5</v>
      </c>
      <c r="E706" s="5">
        <v>0.54166666666666663</v>
      </c>
      <c r="F706" s="2" t="s">
        <v>9</v>
      </c>
      <c r="G706" s="2" t="s">
        <v>10</v>
      </c>
      <c r="H706" s="2" t="s">
        <v>577</v>
      </c>
      <c r="I706" s="2" t="s">
        <v>578</v>
      </c>
      <c r="J706" s="2">
        <v>102753</v>
      </c>
      <c r="K706" s="2" t="s">
        <v>579</v>
      </c>
      <c r="L706" s="2" t="s">
        <v>18</v>
      </c>
      <c r="M706" t="str">
        <f>K706 &amp; " " &amp; I706</f>
        <v>Chauvet Victor</v>
      </c>
      <c r="Q706" t="str">
        <f t="shared" si="65"/>
        <v>102753vchauvet</v>
      </c>
    </row>
    <row r="707" spans="1:17" hidden="1" x14ac:dyDescent="0.4">
      <c r="A707">
        <v>845</v>
      </c>
      <c r="B707" s="2"/>
      <c r="C707" s="4">
        <v>45908</v>
      </c>
      <c r="D707" s="5">
        <v>0.66666666666666663</v>
      </c>
      <c r="E707" s="5">
        <v>0.72916666666666663</v>
      </c>
      <c r="F707" s="2" t="s">
        <v>9</v>
      </c>
      <c r="G707" s="2" t="s">
        <v>10</v>
      </c>
      <c r="H707" s="2" t="s">
        <v>102</v>
      </c>
      <c r="I707" s="2" t="s">
        <v>103</v>
      </c>
      <c r="J707" s="2">
        <v>104855</v>
      </c>
      <c r="K707" s="2" t="s">
        <v>104</v>
      </c>
      <c r="L707" s="2" t="s">
        <v>18</v>
      </c>
      <c r="M707" t="str">
        <f>I707 &amp; " " &amp; K707</f>
        <v>Coralie Mellardi</v>
      </c>
      <c r="Q707" t="str">
        <f t="shared" si="65"/>
        <v>104855cmellardi</v>
      </c>
    </row>
    <row r="708" spans="1:17" hidden="1" x14ac:dyDescent="0.4">
      <c r="A708">
        <v>847</v>
      </c>
      <c r="B708" s="2"/>
      <c r="C708" s="4">
        <v>45908</v>
      </c>
      <c r="D708" s="5">
        <v>0.58333333333333337</v>
      </c>
      <c r="E708" s="5">
        <v>0.64583333333333337</v>
      </c>
      <c r="F708" s="2" t="s">
        <v>9</v>
      </c>
      <c r="G708" s="2" t="s">
        <v>10</v>
      </c>
      <c r="H708" s="2" t="s">
        <v>102</v>
      </c>
      <c r="I708" s="2" t="s">
        <v>103</v>
      </c>
      <c r="J708" s="2">
        <v>104551</v>
      </c>
      <c r="K708" s="2" t="s">
        <v>104</v>
      </c>
      <c r="L708" s="2" t="s">
        <v>18</v>
      </c>
      <c r="M708" t="str">
        <f>I708 &amp; " " &amp; K708</f>
        <v>Coralie Mellardi</v>
      </c>
      <c r="Q708" t="str">
        <f t="shared" si="65"/>
        <v>104551cmellardi</v>
      </c>
    </row>
    <row r="709" spans="1:17" hidden="1" x14ac:dyDescent="0.4">
      <c r="A709">
        <v>848</v>
      </c>
      <c r="B709" s="2"/>
      <c r="C709" s="4">
        <v>45908</v>
      </c>
      <c r="D709" s="5">
        <v>0.47916666666666669</v>
      </c>
      <c r="E709" s="5">
        <v>0.54166666666666663</v>
      </c>
      <c r="F709" s="2" t="s">
        <v>9</v>
      </c>
      <c r="G709" s="2" t="s">
        <v>10</v>
      </c>
      <c r="H709" s="2" t="s">
        <v>102</v>
      </c>
      <c r="I709" s="2" t="s">
        <v>103</v>
      </c>
      <c r="J709" s="2">
        <v>104550</v>
      </c>
      <c r="K709" s="2" t="s">
        <v>104</v>
      </c>
      <c r="L709" s="2" t="s">
        <v>18</v>
      </c>
      <c r="M709" t="str">
        <f>I709 &amp; " " &amp; K709</f>
        <v>Coralie Mellardi</v>
      </c>
      <c r="Q709" t="str">
        <f t="shared" si="65"/>
        <v>104550cmellardi</v>
      </c>
    </row>
    <row r="710" spans="1:17" hidden="1" x14ac:dyDescent="0.4">
      <c r="A710">
        <v>849</v>
      </c>
      <c r="B710" s="2"/>
      <c r="C710" s="4">
        <v>45908</v>
      </c>
      <c r="D710" s="5">
        <v>0.375</v>
      </c>
      <c r="E710" s="5">
        <v>0.4375</v>
      </c>
      <c r="F710" s="2" t="s">
        <v>9</v>
      </c>
      <c r="G710" s="2" t="s">
        <v>10</v>
      </c>
      <c r="H710" s="2" t="s">
        <v>102</v>
      </c>
      <c r="I710" s="2" t="s">
        <v>103</v>
      </c>
      <c r="J710" s="2">
        <v>102916</v>
      </c>
      <c r="K710" s="2" t="s">
        <v>104</v>
      </c>
      <c r="L710" s="2" t="s">
        <v>18</v>
      </c>
      <c r="M710" t="str">
        <f>I710 &amp; " " &amp; K710</f>
        <v>Coralie Mellardi</v>
      </c>
      <c r="Q710" t="str">
        <f t="shared" si="65"/>
        <v>102916cmellardi</v>
      </c>
    </row>
    <row r="711" spans="1:17" hidden="1" x14ac:dyDescent="0.4">
      <c r="A711">
        <v>850</v>
      </c>
      <c r="B711" s="2"/>
      <c r="C711" s="4">
        <v>45909</v>
      </c>
      <c r="D711" s="5">
        <v>0.5</v>
      </c>
      <c r="E711" s="5">
        <v>0.54166666666666663</v>
      </c>
      <c r="F711" s="2" t="s">
        <v>9</v>
      </c>
      <c r="G711" s="2" t="s">
        <v>10</v>
      </c>
      <c r="H711" s="2" t="s">
        <v>317</v>
      </c>
      <c r="I711" s="2" t="s">
        <v>318</v>
      </c>
      <c r="J711" s="2">
        <v>102753</v>
      </c>
      <c r="K711" s="2" t="s">
        <v>319</v>
      </c>
      <c r="L711" s="2" t="s">
        <v>14</v>
      </c>
      <c r="M711" t="str">
        <f>K711 &amp; " " &amp; I711</f>
        <v>Chavanon Louise</v>
      </c>
      <c r="Q711" t="str">
        <f t="shared" si="65"/>
        <v>102753lchavanon</v>
      </c>
    </row>
    <row r="712" spans="1:17" hidden="1" x14ac:dyDescent="0.4">
      <c r="A712">
        <v>851</v>
      </c>
      <c r="B712" s="2"/>
      <c r="C712" s="4">
        <v>45909</v>
      </c>
      <c r="D712" s="5">
        <v>0.5</v>
      </c>
      <c r="E712" s="5">
        <v>0.54166666666666663</v>
      </c>
      <c r="F712" s="2" t="s">
        <v>9</v>
      </c>
      <c r="G712" s="2" t="s">
        <v>10</v>
      </c>
      <c r="H712" s="2" t="s">
        <v>131</v>
      </c>
      <c r="I712" s="2" t="s">
        <v>132</v>
      </c>
      <c r="J712" s="2">
        <v>102753</v>
      </c>
      <c r="K712" s="2" t="s">
        <v>133</v>
      </c>
      <c r="L712" s="2" t="s">
        <v>18</v>
      </c>
      <c r="M712" t="str">
        <f>I712 &amp; " " &amp; K712</f>
        <v>Dylan Choisi</v>
      </c>
      <c r="Q712" t="str">
        <f t="shared" si="65"/>
        <v>102753dchoisi</v>
      </c>
    </row>
    <row r="713" spans="1:17" hidden="1" x14ac:dyDescent="0.4">
      <c r="A713">
        <v>852</v>
      </c>
      <c r="B713" s="2"/>
      <c r="C713" s="4">
        <v>45908</v>
      </c>
      <c r="D713" s="5">
        <v>0.66666666666666663</v>
      </c>
      <c r="E713" s="5">
        <v>0.72916666666666663</v>
      </c>
      <c r="F713" s="2" t="s">
        <v>9</v>
      </c>
      <c r="G713" s="2" t="s">
        <v>10</v>
      </c>
      <c r="H713" s="2" t="s">
        <v>351</v>
      </c>
      <c r="I713" s="2" t="s">
        <v>352</v>
      </c>
      <c r="J713" s="2">
        <v>104855</v>
      </c>
      <c r="K713" s="2" t="s">
        <v>353</v>
      </c>
      <c r="L713" s="2" t="s">
        <v>14</v>
      </c>
      <c r="M713" t="str">
        <f>K713 &amp; " " &amp; I713</f>
        <v>Melliès Marie-Aude</v>
      </c>
      <c r="Q713" t="str">
        <f t="shared" si="65"/>
        <v>104855mamellies</v>
      </c>
    </row>
    <row r="714" spans="1:17" hidden="1" x14ac:dyDescent="0.4">
      <c r="A714">
        <v>854</v>
      </c>
      <c r="B714" s="2"/>
      <c r="C714" s="4">
        <v>45908</v>
      </c>
      <c r="D714" s="5">
        <v>0.58333333333333337</v>
      </c>
      <c r="E714" s="5">
        <v>0.64583333333333337</v>
      </c>
      <c r="F714" s="2" t="s">
        <v>9</v>
      </c>
      <c r="G714" s="2" t="s">
        <v>10</v>
      </c>
      <c r="H714" s="2" t="s">
        <v>351</v>
      </c>
      <c r="I714" s="2" t="s">
        <v>352</v>
      </c>
      <c r="J714" s="2">
        <v>104551</v>
      </c>
      <c r="K714" s="2" t="s">
        <v>353</v>
      </c>
      <c r="L714" s="2" t="s">
        <v>14</v>
      </c>
      <c r="M714" t="str">
        <f>K714 &amp; " " &amp; I714</f>
        <v>Melliès Marie-Aude</v>
      </c>
      <c r="Q714" t="str">
        <f t="shared" si="65"/>
        <v>104551mamellies</v>
      </c>
    </row>
    <row r="715" spans="1:17" hidden="1" x14ac:dyDescent="0.4">
      <c r="A715">
        <v>855</v>
      </c>
      <c r="B715" s="2"/>
      <c r="C715" s="4">
        <v>45908</v>
      </c>
      <c r="D715" s="5">
        <v>0.47916666666666669</v>
      </c>
      <c r="E715" s="5">
        <v>0.54166666666666663</v>
      </c>
      <c r="F715" s="2" t="s">
        <v>9</v>
      </c>
      <c r="G715" s="2" t="s">
        <v>10</v>
      </c>
      <c r="H715" s="2" t="s">
        <v>351</v>
      </c>
      <c r="I715" s="2" t="s">
        <v>352</v>
      </c>
      <c r="J715" s="2">
        <v>104550</v>
      </c>
      <c r="K715" s="2" t="s">
        <v>353</v>
      </c>
      <c r="L715" s="2" t="s">
        <v>14</v>
      </c>
      <c r="M715" t="str">
        <f>K715 &amp; " " &amp; I715</f>
        <v>Melliès Marie-Aude</v>
      </c>
      <c r="Q715" t="str">
        <f t="shared" si="65"/>
        <v>104550mamellies</v>
      </c>
    </row>
    <row r="716" spans="1:17" hidden="1" x14ac:dyDescent="0.4">
      <c r="A716">
        <v>856</v>
      </c>
      <c r="B716" s="2"/>
      <c r="C716" s="4">
        <v>45908</v>
      </c>
      <c r="D716" s="5">
        <v>0.375</v>
      </c>
      <c r="E716" s="5">
        <v>0.4375</v>
      </c>
      <c r="F716" s="2" t="s">
        <v>9</v>
      </c>
      <c r="G716" s="2" t="s">
        <v>10</v>
      </c>
      <c r="H716" s="2" t="s">
        <v>351</v>
      </c>
      <c r="I716" s="2" t="s">
        <v>352</v>
      </c>
      <c r="J716" s="2">
        <v>102916</v>
      </c>
      <c r="K716" s="2" t="s">
        <v>353</v>
      </c>
      <c r="L716" s="2" t="s">
        <v>14</v>
      </c>
      <c r="M716" t="str">
        <f>K716 &amp; " " &amp; I716</f>
        <v>Melliès Marie-Aude</v>
      </c>
      <c r="Q716" t="str">
        <f t="shared" si="65"/>
        <v>102916mamellies</v>
      </c>
    </row>
    <row r="717" spans="1:17" hidden="1" x14ac:dyDescent="0.4">
      <c r="A717">
        <v>857</v>
      </c>
      <c r="B717" s="2"/>
      <c r="C717" s="4">
        <v>45909</v>
      </c>
      <c r="D717" s="5">
        <v>0.5</v>
      </c>
      <c r="E717" s="5">
        <v>0.54166666666666663</v>
      </c>
      <c r="F717" s="2" t="s">
        <v>9</v>
      </c>
      <c r="G717" s="2" t="s">
        <v>10</v>
      </c>
      <c r="H717" s="2" t="s">
        <v>25</v>
      </c>
      <c r="I717" s="2" t="s">
        <v>12</v>
      </c>
      <c r="J717" s="2">
        <v>102753</v>
      </c>
      <c r="K717" s="2" t="s">
        <v>26</v>
      </c>
      <c r="L717" s="2" t="s">
        <v>18</v>
      </c>
      <c r="M717" t="str">
        <f>I717 &amp; " " &amp; K717</f>
        <v>Antonin Christophe</v>
      </c>
      <c r="Q717" t="str">
        <f t="shared" si="65"/>
        <v>102753achristophe1</v>
      </c>
    </row>
    <row r="718" spans="1:17" hidden="1" x14ac:dyDescent="0.4">
      <c r="A718">
        <v>858</v>
      </c>
      <c r="B718" s="2"/>
      <c r="C718" s="4">
        <v>45909</v>
      </c>
      <c r="D718" s="5">
        <v>0.5</v>
      </c>
      <c r="E718" s="5">
        <v>0.54166666666666663</v>
      </c>
      <c r="F718" s="2" t="s">
        <v>9</v>
      </c>
      <c r="G718" s="2" t="s">
        <v>10</v>
      </c>
      <c r="H718" s="2" t="s">
        <v>511</v>
      </c>
      <c r="I718" s="2" t="s">
        <v>512</v>
      </c>
      <c r="J718" s="2">
        <v>102753</v>
      </c>
      <c r="K718" s="2" t="s">
        <v>513</v>
      </c>
      <c r="L718" s="2" t="s">
        <v>18</v>
      </c>
      <c r="M718" t="str">
        <f>K718 &amp; " " &amp; I718</f>
        <v>Cohen Shaïna</v>
      </c>
      <c r="Q718" t="str">
        <f t="shared" si="65"/>
        <v>102753scohen</v>
      </c>
    </row>
    <row r="719" spans="1:17" hidden="1" x14ac:dyDescent="0.4">
      <c r="A719">
        <v>859</v>
      </c>
      <c r="B719" s="2"/>
      <c r="C719" s="4">
        <v>45908</v>
      </c>
      <c r="D719" s="5">
        <v>0.66666666666666663</v>
      </c>
      <c r="E719" s="5">
        <v>0.72916666666666663</v>
      </c>
      <c r="F719" s="2" t="s">
        <v>9</v>
      </c>
      <c r="G719" s="2" t="s">
        <v>10</v>
      </c>
      <c r="H719" s="2" t="s">
        <v>336</v>
      </c>
      <c r="I719" s="2" t="s">
        <v>337</v>
      </c>
      <c r="J719" s="2">
        <v>104855</v>
      </c>
      <c r="K719" s="2" t="s">
        <v>338</v>
      </c>
      <c r="L719" s="2" t="s">
        <v>18</v>
      </c>
      <c r="M719" t="str">
        <f>I719 &amp; " " &amp; K719</f>
        <v>Léo Messina</v>
      </c>
      <c r="Q719" t="str">
        <f t="shared" si="65"/>
        <v>104855lmessina</v>
      </c>
    </row>
    <row r="720" spans="1:17" hidden="1" x14ac:dyDescent="0.4">
      <c r="A720">
        <v>861</v>
      </c>
      <c r="B720" s="2"/>
      <c r="C720" s="4">
        <v>45908</v>
      </c>
      <c r="D720" s="5">
        <v>0.58333333333333337</v>
      </c>
      <c r="E720" s="5">
        <v>0.64583333333333337</v>
      </c>
      <c r="F720" s="2" t="s">
        <v>9</v>
      </c>
      <c r="G720" s="2" t="s">
        <v>10</v>
      </c>
      <c r="H720" s="2" t="s">
        <v>336</v>
      </c>
      <c r="I720" s="2" t="s">
        <v>337</v>
      </c>
      <c r="J720" s="2">
        <v>104551</v>
      </c>
      <c r="K720" s="2" t="s">
        <v>338</v>
      </c>
      <c r="L720" s="2" t="s">
        <v>18</v>
      </c>
      <c r="M720" t="str">
        <f>I720 &amp; " " &amp; K720</f>
        <v>Léo Messina</v>
      </c>
      <c r="Q720" t="str">
        <f t="shared" si="65"/>
        <v>104551lmessina</v>
      </c>
    </row>
    <row r="721" spans="1:17" hidden="1" x14ac:dyDescent="0.4">
      <c r="A721">
        <v>862</v>
      </c>
      <c r="B721" s="2"/>
      <c r="C721" s="4">
        <v>45908</v>
      </c>
      <c r="D721" s="5">
        <v>0.47916666666666669</v>
      </c>
      <c r="E721" s="5">
        <v>0.54166666666666663</v>
      </c>
      <c r="F721" s="2" t="s">
        <v>9</v>
      </c>
      <c r="G721" s="2" t="s">
        <v>10</v>
      </c>
      <c r="H721" s="2" t="s">
        <v>336</v>
      </c>
      <c r="I721" s="2" t="s">
        <v>337</v>
      </c>
      <c r="J721" s="2">
        <v>104550</v>
      </c>
      <c r="K721" s="2" t="s">
        <v>338</v>
      </c>
      <c r="L721" s="2" t="s">
        <v>18</v>
      </c>
      <c r="M721" t="str">
        <f>K721 &amp; " " &amp; I721</f>
        <v>Messina Léo</v>
      </c>
      <c r="Q721" t="str">
        <f t="shared" si="65"/>
        <v>104550lmessina</v>
      </c>
    </row>
    <row r="722" spans="1:17" hidden="1" x14ac:dyDescent="0.4">
      <c r="A722">
        <v>863</v>
      </c>
      <c r="B722" s="2"/>
      <c r="C722" s="4">
        <v>45908</v>
      </c>
      <c r="D722" s="5">
        <v>0.375</v>
      </c>
      <c r="E722" s="5">
        <v>0.4375</v>
      </c>
      <c r="F722" s="2" t="s">
        <v>9</v>
      </c>
      <c r="G722" s="2" t="s">
        <v>10</v>
      </c>
      <c r="H722" s="2" t="s">
        <v>336</v>
      </c>
      <c r="I722" s="2" t="s">
        <v>337</v>
      </c>
      <c r="J722" s="2">
        <v>102916</v>
      </c>
      <c r="K722" s="2" t="s">
        <v>338</v>
      </c>
      <c r="L722" s="2" t="s">
        <v>18</v>
      </c>
      <c r="M722" t="str">
        <f>K722 &amp; " " &amp; I722</f>
        <v>Messina Léo</v>
      </c>
      <c r="Q722" t="str">
        <f t="shared" si="65"/>
        <v>102916lmessina</v>
      </c>
    </row>
    <row r="723" spans="1:17" hidden="1" x14ac:dyDescent="0.4">
      <c r="A723">
        <v>864</v>
      </c>
      <c r="B723" s="2"/>
      <c r="C723" s="4">
        <v>45909</v>
      </c>
      <c r="D723" s="5">
        <v>0.5</v>
      </c>
      <c r="E723" s="5">
        <v>0.54166666666666663</v>
      </c>
      <c r="F723" s="2" t="s">
        <v>9</v>
      </c>
      <c r="G723" s="2" t="s">
        <v>10</v>
      </c>
      <c r="H723" s="2" t="s">
        <v>482</v>
      </c>
      <c r="I723" s="2" t="s">
        <v>483</v>
      </c>
      <c r="J723" s="2">
        <v>102753</v>
      </c>
      <c r="K723" s="2" t="s">
        <v>484</v>
      </c>
      <c r="L723" s="2" t="s">
        <v>18</v>
      </c>
      <c r="M723" t="str">
        <f t="shared" ref="M723:M728" si="66">I723 &amp; " " &amp; K723</f>
        <v>Raphaël Cohen-Akenine</v>
      </c>
      <c r="Q723" t="str">
        <f t="shared" si="65"/>
        <v>102753rcohenakenine</v>
      </c>
    </row>
    <row r="724" spans="1:17" hidden="1" x14ac:dyDescent="0.4">
      <c r="A724">
        <v>865</v>
      </c>
      <c r="B724" s="2"/>
      <c r="C724" s="4">
        <v>45909</v>
      </c>
      <c r="D724" s="5">
        <v>0.5</v>
      </c>
      <c r="E724" s="5">
        <v>0.54166666666666663</v>
      </c>
      <c r="F724" s="2" t="s">
        <v>9</v>
      </c>
      <c r="G724" s="2" t="s">
        <v>10</v>
      </c>
      <c r="H724" s="2" t="s">
        <v>580</v>
      </c>
      <c r="I724" s="2" t="s">
        <v>581</v>
      </c>
      <c r="J724" s="2">
        <v>102753</v>
      </c>
      <c r="K724" s="2" t="s">
        <v>582</v>
      </c>
      <c r="L724" s="2" t="s">
        <v>18</v>
      </c>
      <c r="M724" t="str">
        <f t="shared" si="66"/>
        <v>Virgile Conesa</v>
      </c>
      <c r="Q724" t="str">
        <f t="shared" si="65"/>
        <v>102753vconesa</v>
      </c>
    </row>
    <row r="725" spans="1:17" hidden="1" x14ac:dyDescent="0.4">
      <c r="A725">
        <v>866</v>
      </c>
      <c r="B725" s="2"/>
      <c r="C725" s="4">
        <v>45908</v>
      </c>
      <c r="D725" s="5">
        <v>0.66666666666666663</v>
      </c>
      <c r="E725" s="5">
        <v>0.72916666666666663</v>
      </c>
      <c r="F725" s="2" t="s">
        <v>9</v>
      </c>
      <c r="G725" s="2" t="s">
        <v>10</v>
      </c>
      <c r="H725" s="2" t="s">
        <v>435</v>
      </c>
      <c r="I725" s="2" t="s">
        <v>436</v>
      </c>
      <c r="J725" s="2">
        <v>104855</v>
      </c>
      <c r="K725" s="2" t="s">
        <v>437</v>
      </c>
      <c r="L725" s="2" t="s">
        <v>18</v>
      </c>
      <c r="M725" t="str">
        <f t="shared" si="66"/>
        <v>Naïs Métivier--Ragonnet</v>
      </c>
      <c r="Q725" t="str">
        <f t="shared" si="65"/>
        <v>104855nmetivierragonnet</v>
      </c>
    </row>
    <row r="726" spans="1:17" hidden="1" x14ac:dyDescent="0.4">
      <c r="A726">
        <v>868</v>
      </c>
      <c r="B726" s="2"/>
      <c r="C726" s="4">
        <v>45908</v>
      </c>
      <c r="D726" s="5">
        <v>0.58333333333333337</v>
      </c>
      <c r="E726" s="5">
        <v>0.64583333333333337</v>
      </c>
      <c r="F726" s="2" t="s">
        <v>9</v>
      </c>
      <c r="G726" s="2" t="s">
        <v>10</v>
      </c>
      <c r="H726" s="2" t="s">
        <v>435</v>
      </c>
      <c r="I726" s="2" t="s">
        <v>436</v>
      </c>
      <c r="J726" s="2">
        <v>104551</v>
      </c>
      <c r="K726" s="2" t="s">
        <v>437</v>
      </c>
      <c r="L726" s="2" t="s">
        <v>18</v>
      </c>
      <c r="M726" t="str">
        <f t="shared" si="66"/>
        <v>Naïs Métivier--Ragonnet</v>
      </c>
      <c r="Q726" t="str">
        <f t="shared" si="65"/>
        <v>104551nmetivierragonnet</v>
      </c>
    </row>
    <row r="727" spans="1:17" hidden="1" x14ac:dyDescent="0.4">
      <c r="A727">
        <v>869</v>
      </c>
      <c r="B727" s="2"/>
      <c r="C727" s="4">
        <v>45908</v>
      </c>
      <c r="D727" s="5">
        <v>0.47916666666666669</v>
      </c>
      <c r="E727" s="5">
        <v>0.54166666666666663</v>
      </c>
      <c r="F727" s="2" t="s">
        <v>9</v>
      </c>
      <c r="G727" s="2" t="s">
        <v>10</v>
      </c>
      <c r="H727" s="2" t="s">
        <v>435</v>
      </c>
      <c r="I727" s="2" t="s">
        <v>436</v>
      </c>
      <c r="J727" s="2">
        <v>104550</v>
      </c>
      <c r="K727" s="2" t="s">
        <v>437</v>
      </c>
      <c r="L727" s="2" t="s">
        <v>18</v>
      </c>
      <c r="M727" t="str">
        <f t="shared" si="66"/>
        <v>Naïs Métivier--Ragonnet</v>
      </c>
      <c r="Q727" t="str">
        <f t="shared" si="65"/>
        <v>104550nmetivierragonnet</v>
      </c>
    </row>
    <row r="728" spans="1:17" hidden="1" x14ac:dyDescent="0.4">
      <c r="A728">
        <v>870</v>
      </c>
      <c r="B728" s="2"/>
      <c r="C728" s="4">
        <v>45908</v>
      </c>
      <c r="D728" s="5">
        <v>0.375</v>
      </c>
      <c r="E728" s="5">
        <v>0.4375</v>
      </c>
      <c r="F728" s="2" t="s">
        <v>9</v>
      </c>
      <c r="G728" s="2" t="s">
        <v>10</v>
      </c>
      <c r="H728" s="2" t="s">
        <v>435</v>
      </c>
      <c r="I728" s="2" t="s">
        <v>436</v>
      </c>
      <c r="J728" s="2">
        <v>102916</v>
      </c>
      <c r="K728" s="2" t="s">
        <v>437</v>
      </c>
      <c r="L728" s="2" t="s">
        <v>18</v>
      </c>
      <c r="M728" t="str">
        <f t="shared" si="66"/>
        <v>Naïs Métivier--Ragonnet</v>
      </c>
      <c r="Q728" t="str">
        <f t="shared" si="65"/>
        <v>102916nmetivierragonnet</v>
      </c>
    </row>
    <row r="729" spans="1:17" hidden="1" x14ac:dyDescent="0.4">
      <c r="A729">
        <v>871</v>
      </c>
      <c r="B729" s="2"/>
      <c r="C729" s="4">
        <v>45909</v>
      </c>
      <c r="D729" s="5">
        <v>0.5</v>
      </c>
      <c r="E729" s="5">
        <v>0.54166666666666663</v>
      </c>
      <c r="F729" s="2" t="s">
        <v>9</v>
      </c>
      <c r="G729" s="2" t="s">
        <v>10</v>
      </c>
      <c r="H729" s="2" t="s">
        <v>148</v>
      </c>
      <c r="I729" s="2" t="s">
        <v>149</v>
      </c>
      <c r="J729" s="2">
        <v>102753</v>
      </c>
      <c r="K729" s="2" t="s">
        <v>150</v>
      </c>
      <c r="L729" s="2" t="s">
        <v>14</v>
      </c>
      <c r="M729" t="str">
        <f t="shared" ref="M729:M733" si="67">K729 &amp; " " &amp; I729</f>
        <v>Constable Elisa</v>
      </c>
      <c r="Q729" t="str">
        <f t="shared" si="65"/>
        <v>102753econstable</v>
      </c>
    </row>
    <row r="730" spans="1:17" hidden="1" x14ac:dyDescent="0.4">
      <c r="A730">
        <v>872</v>
      </c>
      <c r="B730" s="2"/>
      <c r="C730" s="4">
        <v>45909</v>
      </c>
      <c r="D730" s="5">
        <v>0.5</v>
      </c>
      <c r="E730" s="5">
        <v>0.54166666666666663</v>
      </c>
      <c r="F730" s="2" t="s">
        <v>9</v>
      </c>
      <c r="G730" s="2" t="s">
        <v>10</v>
      </c>
      <c r="H730" s="2" t="s">
        <v>99</v>
      </c>
      <c r="I730" s="2" t="s">
        <v>100</v>
      </c>
      <c r="J730" s="2">
        <v>102753</v>
      </c>
      <c r="K730" s="2" t="s">
        <v>101</v>
      </c>
      <c r="L730" s="2" t="s">
        <v>18</v>
      </c>
      <c r="M730" t="str">
        <f t="shared" si="67"/>
        <v>Coppola Christiana</v>
      </c>
      <c r="Q730" t="str">
        <f t="shared" si="65"/>
        <v>102753ccoppola</v>
      </c>
    </row>
    <row r="731" spans="1:17" x14ac:dyDescent="0.4">
      <c r="A731">
        <v>874</v>
      </c>
      <c r="B731" s="2"/>
      <c r="C731" s="4">
        <v>45908</v>
      </c>
      <c r="D731" s="5">
        <v>0.58333333333333337</v>
      </c>
      <c r="E731" s="5">
        <v>0.64583333333333337</v>
      </c>
      <c r="F731" s="2" t="s">
        <v>9</v>
      </c>
      <c r="G731" s="2" t="s">
        <v>10</v>
      </c>
      <c r="H731" s="2" t="s">
        <v>374</v>
      </c>
      <c r="I731" s="2" t="s">
        <v>375</v>
      </c>
      <c r="J731" s="2">
        <v>104551</v>
      </c>
      <c r="K731" s="2" t="s">
        <v>376</v>
      </c>
      <c r="L731" s="2" t="s">
        <v>14</v>
      </c>
      <c r="M731" t="str">
        <f t="shared" si="67"/>
        <v>Metzger Maël</v>
      </c>
      <c r="Q731" t="str">
        <f t="shared" si="65"/>
        <v>104551mmetzger</v>
      </c>
    </row>
    <row r="732" spans="1:17" x14ac:dyDescent="0.4">
      <c r="A732">
        <v>875</v>
      </c>
      <c r="B732" s="2"/>
      <c r="C732" s="4">
        <v>45908</v>
      </c>
      <c r="D732" s="5">
        <v>0.47916666666666669</v>
      </c>
      <c r="E732" s="5">
        <v>0.54166666666666663</v>
      </c>
      <c r="F732" s="2" t="s">
        <v>9</v>
      </c>
      <c r="G732" s="2" t="s">
        <v>10</v>
      </c>
      <c r="H732" s="2" t="s">
        <v>374</v>
      </c>
      <c r="I732" s="2" t="s">
        <v>375</v>
      </c>
      <c r="J732" s="2">
        <v>104550</v>
      </c>
      <c r="K732" s="2" t="s">
        <v>376</v>
      </c>
      <c r="L732" s="2" t="s">
        <v>14</v>
      </c>
      <c r="M732" t="str">
        <f t="shared" si="67"/>
        <v>Metzger Maël</v>
      </c>
      <c r="Q732" t="str">
        <f t="shared" si="65"/>
        <v>104550mmetzger</v>
      </c>
    </row>
    <row r="733" spans="1:17" x14ac:dyDescent="0.4">
      <c r="A733">
        <v>876</v>
      </c>
      <c r="B733" s="2"/>
      <c r="C733" s="4">
        <v>45908</v>
      </c>
      <c r="D733" s="5">
        <v>0.375</v>
      </c>
      <c r="E733" s="5">
        <v>0.4375</v>
      </c>
      <c r="F733" s="2" t="s">
        <v>9</v>
      </c>
      <c r="G733" s="2" t="s">
        <v>10</v>
      </c>
      <c r="H733" s="2" t="s">
        <v>374</v>
      </c>
      <c r="I733" s="2" t="s">
        <v>375</v>
      </c>
      <c r="J733" s="2">
        <v>102916</v>
      </c>
      <c r="K733" s="2" t="s">
        <v>376</v>
      </c>
      <c r="L733" s="2" t="s">
        <v>14</v>
      </c>
      <c r="M733" t="str">
        <f t="shared" si="67"/>
        <v>Metzger Maël</v>
      </c>
      <c r="Q733" t="str">
        <f t="shared" si="65"/>
        <v>102916mmetzger</v>
      </c>
    </row>
    <row r="734" spans="1:17" hidden="1" x14ac:dyDescent="0.4">
      <c r="A734">
        <v>877</v>
      </c>
      <c r="B734" s="2"/>
      <c r="C734" s="4">
        <v>45909</v>
      </c>
      <c r="D734" s="5">
        <v>0.5</v>
      </c>
      <c r="E734" s="5">
        <v>0.54166666666666663</v>
      </c>
      <c r="F734" s="2" t="s">
        <v>9</v>
      </c>
      <c r="G734" s="2" t="s">
        <v>10</v>
      </c>
      <c r="H734" s="2" t="s">
        <v>196</v>
      </c>
      <c r="I734" s="2" t="s">
        <v>197</v>
      </c>
      <c r="J734" s="2">
        <v>102753</v>
      </c>
      <c r="K734" s="2" t="s">
        <v>198</v>
      </c>
      <c r="L734" s="2" t="s">
        <v>18</v>
      </c>
      <c r="M734" t="str">
        <f>I734 &amp; " " &amp; K734</f>
        <v>Filip Cusmir</v>
      </c>
      <c r="Q734" t="str">
        <f t="shared" si="65"/>
        <v>102753fcusmir</v>
      </c>
    </row>
    <row r="735" spans="1:17" hidden="1" x14ac:dyDescent="0.4">
      <c r="A735">
        <v>878</v>
      </c>
      <c r="B735" s="2"/>
      <c r="C735" s="4">
        <v>45909</v>
      </c>
      <c r="D735" s="5">
        <v>0.5</v>
      </c>
      <c r="E735" s="5">
        <v>0.54166666666666663</v>
      </c>
      <c r="F735" s="2" t="s">
        <v>9</v>
      </c>
      <c r="G735" s="2" t="s">
        <v>10</v>
      </c>
      <c r="H735" s="2" t="s">
        <v>453</v>
      </c>
      <c r="I735" s="2" t="s">
        <v>454</v>
      </c>
      <c r="J735" s="2">
        <v>102753</v>
      </c>
      <c r="K735" s="2" t="s">
        <v>455</v>
      </c>
      <c r="L735" s="2" t="s">
        <v>18</v>
      </c>
      <c r="M735" t="str">
        <f>I735 &amp; " " &amp; K735</f>
        <v>Oihan de Sousa Pires</v>
      </c>
      <c r="Q735" t="str">
        <f t="shared" si="65"/>
        <v>102753odesousapires</v>
      </c>
    </row>
    <row r="736" spans="1:17" hidden="1" x14ac:dyDescent="0.4">
      <c r="A736">
        <v>879</v>
      </c>
      <c r="B736" s="2"/>
      <c r="C736" s="4">
        <v>45908</v>
      </c>
      <c r="D736" s="5">
        <v>0.66666666666666663</v>
      </c>
      <c r="E736" s="5">
        <v>0.72916666666666663</v>
      </c>
      <c r="F736" s="2" t="s">
        <v>9</v>
      </c>
      <c r="G736" s="2" t="s">
        <v>10</v>
      </c>
      <c r="H736" s="2" t="s">
        <v>290</v>
      </c>
      <c r="I736" s="2" t="s">
        <v>291</v>
      </c>
      <c r="J736" s="2">
        <v>104855</v>
      </c>
      <c r="K736" s="2" t="s">
        <v>292</v>
      </c>
      <c r="L736" s="2" t="s">
        <v>14</v>
      </c>
      <c r="M736" t="str">
        <f>K736 &amp; " " &amp; I736</f>
        <v>Mialon Joffrey</v>
      </c>
      <c r="Q736" t="str">
        <f t="shared" si="65"/>
        <v>104855jmialon</v>
      </c>
    </row>
    <row r="737" spans="1:17" hidden="1" x14ac:dyDescent="0.4">
      <c r="A737">
        <v>881</v>
      </c>
      <c r="B737" s="2"/>
      <c r="C737" s="4">
        <v>45908</v>
      </c>
      <c r="D737" s="5">
        <v>0.58333333333333337</v>
      </c>
      <c r="E737" s="5">
        <v>0.64583333333333337</v>
      </c>
      <c r="F737" s="2" t="s">
        <v>9</v>
      </c>
      <c r="G737" s="2" t="s">
        <v>10</v>
      </c>
      <c r="H737" s="2" t="s">
        <v>290</v>
      </c>
      <c r="I737" s="2" t="s">
        <v>291</v>
      </c>
      <c r="J737" s="2">
        <v>104551</v>
      </c>
      <c r="K737" s="2" t="s">
        <v>292</v>
      </c>
      <c r="L737" s="2" t="s">
        <v>14</v>
      </c>
      <c r="M737" t="str">
        <f>K737 &amp; " " &amp; I737</f>
        <v>Mialon Joffrey</v>
      </c>
      <c r="Q737" t="str">
        <f t="shared" si="65"/>
        <v>104551jmialon</v>
      </c>
    </row>
    <row r="738" spans="1:17" hidden="1" x14ac:dyDescent="0.4">
      <c r="A738">
        <v>882</v>
      </c>
      <c r="B738" s="2"/>
      <c r="C738" s="4">
        <v>45908</v>
      </c>
      <c r="D738" s="5">
        <v>0.47916666666666669</v>
      </c>
      <c r="E738" s="5">
        <v>0.54166666666666663</v>
      </c>
      <c r="F738" s="2" t="s">
        <v>9</v>
      </c>
      <c r="G738" s="2" t="s">
        <v>10</v>
      </c>
      <c r="H738" s="2" t="s">
        <v>290</v>
      </c>
      <c r="I738" s="2" t="s">
        <v>291</v>
      </c>
      <c r="J738" s="2">
        <v>104550</v>
      </c>
      <c r="K738" s="2" t="s">
        <v>292</v>
      </c>
      <c r="L738" s="2" t="s">
        <v>14</v>
      </c>
      <c r="M738" t="str">
        <f>K738 &amp; " " &amp; I738</f>
        <v>Mialon Joffrey</v>
      </c>
      <c r="Q738" t="str">
        <f t="shared" si="65"/>
        <v>104550jmialon</v>
      </c>
    </row>
    <row r="739" spans="1:17" hidden="1" x14ac:dyDescent="0.4">
      <c r="A739">
        <v>883</v>
      </c>
      <c r="B739" s="2"/>
      <c r="C739" s="4">
        <v>45908</v>
      </c>
      <c r="D739" s="5">
        <v>0.375</v>
      </c>
      <c r="E739" s="5">
        <v>0.4375</v>
      </c>
      <c r="F739" s="2" t="s">
        <v>9</v>
      </c>
      <c r="G739" s="2" t="s">
        <v>10</v>
      </c>
      <c r="H739" s="2" t="s">
        <v>290</v>
      </c>
      <c r="I739" s="2" t="s">
        <v>291</v>
      </c>
      <c r="J739" s="2">
        <v>102916</v>
      </c>
      <c r="K739" s="2" t="s">
        <v>292</v>
      </c>
      <c r="L739" s="2" t="s">
        <v>14</v>
      </c>
      <c r="M739" t="str">
        <f>K739 &amp; " " &amp; I739</f>
        <v>Mialon Joffrey</v>
      </c>
      <c r="Q739" t="str">
        <f t="shared" si="65"/>
        <v>102916jmialon</v>
      </c>
    </row>
    <row r="740" spans="1:17" hidden="1" x14ac:dyDescent="0.4">
      <c r="A740">
        <v>884</v>
      </c>
      <c r="B740" s="2"/>
      <c r="C740" s="4">
        <v>45909</v>
      </c>
      <c r="D740" s="5">
        <v>0.5</v>
      </c>
      <c r="E740" s="5">
        <v>0.54166666666666663</v>
      </c>
      <c r="F740" s="2" t="s">
        <v>9</v>
      </c>
      <c r="G740" s="2" t="s">
        <v>10</v>
      </c>
      <c r="H740" s="2" t="s">
        <v>27</v>
      </c>
      <c r="I740" s="2" t="s">
        <v>28</v>
      </c>
      <c r="J740" s="2">
        <v>102753</v>
      </c>
      <c r="K740" s="2" t="s">
        <v>29</v>
      </c>
      <c r="L740" s="2" t="s">
        <v>18</v>
      </c>
      <c r="M740" t="str">
        <f>I740 &amp; " " &amp; K740</f>
        <v>Aloïs Decaëns</v>
      </c>
      <c r="Q740" t="str">
        <f t="shared" si="65"/>
        <v>102753adecaens</v>
      </c>
    </row>
    <row r="741" spans="1:17" hidden="1" x14ac:dyDescent="0.4">
      <c r="A741">
        <v>885</v>
      </c>
      <c r="B741" s="2"/>
      <c r="C741" s="4">
        <v>45909</v>
      </c>
      <c r="D741" s="5">
        <v>0.5</v>
      </c>
      <c r="E741" s="5">
        <v>0.54166666666666663</v>
      </c>
      <c r="F741" s="2" t="s">
        <v>9</v>
      </c>
      <c r="G741" s="2" t="s">
        <v>10</v>
      </c>
      <c r="H741" s="2" t="s">
        <v>485</v>
      </c>
      <c r="I741" s="2" t="s">
        <v>486</v>
      </c>
      <c r="J741" s="2">
        <v>102753</v>
      </c>
      <c r="K741" s="2" t="s">
        <v>487</v>
      </c>
      <c r="L741" s="2" t="s">
        <v>14</v>
      </c>
      <c r="M741" t="str">
        <f>K741 &amp; " " &amp; I741</f>
        <v>Dehors Rose</v>
      </c>
      <c r="Q741" t="str">
        <f t="shared" si="65"/>
        <v>102753rdehors</v>
      </c>
    </row>
    <row r="742" spans="1:17" hidden="1" x14ac:dyDescent="0.4">
      <c r="A742">
        <v>886</v>
      </c>
      <c r="B742" s="2"/>
      <c r="C742" s="4">
        <v>45908</v>
      </c>
      <c r="D742" s="5">
        <v>0.66666666666666663</v>
      </c>
      <c r="E742" s="5">
        <v>0.72916666666666663</v>
      </c>
      <c r="F742" s="2" t="s">
        <v>9</v>
      </c>
      <c r="G742" s="2" t="s">
        <v>10</v>
      </c>
      <c r="H742" s="2" t="s">
        <v>528</v>
      </c>
      <c r="I742" s="2" t="s">
        <v>529</v>
      </c>
      <c r="J742" s="2">
        <v>104855</v>
      </c>
      <c r="K742" s="2" t="s">
        <v>530</v>
      </c>
      <c r="L742" s="2" t="s">
        <v>18</v>
      </c>
      <c r="M742" t="str">
        <f>I742 &amp; " " &amp; K742</f>
        <v>Salvatore Miceli</v>
      </c>
      <c r="Q742" t="str">
        <f t="shared" si="65"/>
        <v>104855smiceli</v>
      </c>
    </row>
    <row r="743" spans="1:17" hidden="1" x14ac:dyDescent="0.4">
      <c r="A743">
        <v>888</v>
      </c>
      <c r="B743" s="2"/>
      <c r="C743" s="4">
        <v>45908</v>
      </c>
      <c r="D743" s="5">
        <v>0.58333333333333337</v>
      </c>
      <c r="E743" s="5">
        <v>0.64583333333333337</v>
      </c>
      <c r="F743" s="2" t="s">
        <v>9</v>
      </c>
      <c r="G743" s="2" t="s">
        <v>10</v>
      </c>
      <c r="H743" s="2" t="s">
        <v>528</v>
      </c>
      <c r="I743" s="2" t="s">
        <v>529</v>
      </c>
      <c r="J743" s="2">
        <v>104551</v>
      </c>
      <c r="K743" s="2" t="s">
        <v>530</v>
      </c>
      <c r="L743" s="2" t="s">
        <v>18</v>
      </c>
      <c r="M743" t="str">
        <f>I743 &amp; " " &amp; K743</f>
        <v>Salvatore Miceli</v>
      </c>
      <c r="Q743" t="str">
        <f t="shared" si="65"/>
        <v>104551smiceli</v>
      </c>
    </row>
    <row r="744" spans="1:17" hidden="1" x14ac:dyDescent="0.4">
      <c r="A744">
        <v>889</v>
      </c>
      <c r="B744" s="2"/>
      <c r="C744" s="4">
        <v>45908</v>
      </c>
      <c r="D744" s="5">
        <v>0.47916666666666669</v>
      </c>
      <c r="E744" s="5">
        <v>0.54166666666666663</v>
      </c>
      <c r="F744" s="2" t="s">
        <v>9</v>
      </c>
      <c r="G744" s="2" t="s">
        <v>10</v>
      </c>
      <c r="H744" s="2" t="s">
        <v>528</v>
      </c>
      <c r="I744" s="2" t="s">
        <v>529</v>
      </c>
      <c r="J744" s="2">
        <v>104550</v>
      </c>
      <c r="K744" s="2" t="s">
        <v>530</v>
      </c>
      <c r="L744" s="2" t="s">
        <v>18</v>
      </c>
      <c r="M744" t="str">
        <f>I744 &amp; " " &amp; K744</f>
        <v>Salvatore Miceli</v>
      </c>
      <c r="Q744" t="str">
        <f t="shared" si="65"/>
        <v>104550smiceli</v>
      </c>
    </row>
    <row r="745" spans="1:17" hidden="1" x14ac:dyDescent="0.4">
      <c r="A745">
        <v>890</v>
      </c>
      <c r="B745" s="2"/>
      <c r="C745" s="4">
        <v>45908</v>
      </c>
      <c r="D745" s="5">
        <v>0.375</v>
      </c>
      <c r="E745" s="5">
        <v>0.4375</v>
      </c>
      <c r="F745" s="2" t="s">
        <v>9</v>
      </c>
      <c r="G745" s="2" t="s">
        <v>10</v>
      </c>
      <c r="H745" s="2" t="s">
        <v>528</v>
      </c>
      <c r="I745" s="2" t="s">
        <v>529</v>
      </c>
      <c r="J745" s="2">
        <v>102916</v>
      </c>
      <c r="K745" s="2" t="s">
        <v>530</v>
      </c>
      <c r="L745" s="2" t="s">
        <v>18</v>
      </c>
      <c r="M745" t="str">
        <f>K745 &amp; " " &amp; I745</f>
        <v>Miceli Salvatore</v>
      </c>
      <c r="Q745" t="str">
        <f t="shared" si="65"/>
        <v>102916smiceli</v>
      </c>
    </row>
    <row r="746" spans="1:17" hidden="1" x14ac:dyDescent="0.4">
      <c r="A746">
        <v>891</v>
      </c>
      <c r="B746" s="2"/>
      <c r="C746" s="4">
        <v>45909</v>
      </c>
      <c r="D746" s="5">
        <v>0.5</v>
      </c>
      <c r="E746" s="5">
        <v>0.54166666666666663</v>
      </c>
      <c r="F746" s="2" t="s">
        <v>9</v>
      </c>
      <c r="G746" s="2" t="s">
        <v>10</v>
      </c>
      <c r="H746" s="2" t="s">
        <v>212</v>
      </c>
      <c r="I746" s="2" t="s">
        <v>213</v>
      </c>
      <c r="J746" s="2">
        <v>102753</v>
      </c>
      <c r="K746" s="2" t="s">
        <v>214</v>
      </c>
      <c r="L746" s="2" t="s">
        <v>18</v>
      </c>
      <c r="M746" t="str">
        <f>I746 &amp; " " &amp; K746</f>
        <v>Guillaume Delattre</v>
      </c>
      <c r="Q746" t="str">
        <f t="shared" si="65"/>
        <v>102753gdelattre</v>
      </c>
    </row>
    <row r="747" spans="1:17" hidden="1" x14ac:dyDescent="0.4">
      <c r="A747">
        <v>892</v>
      </c>
      <c r="B747" s="2"/>
      <c r="C747" s="4">
        <v>45909</v>
      </c>
      <c r="D747" s="5">
        <v>0.5</v>
      </c>
      <c r="E747" s="5">
        <v>0.54166666666666663</v>
      </c>
      <c r="F747" s="2" t="s">
        <v>9</v>
      </c>
      <c r="G747" s="2" t="s">
        <v>10</v>
      </c>
      <c r="H747" s="2" t="s">
        <v>30</v>
      </c>
      <c r="I747" s="2" t="s">
        <v>31</v>
      </c>
      <c r="J747" s="2">
        <v>102753</v>
      </c>
      <c r="K747" s="2" t="s">
        <v>32</v>
      </c>
      <c r="L747" s="2" t="s">
        <v>18</v>
      </c>
      <c r="M747" t="str">
        <f>I747 &amp; " " &amp; K747</f>
        <v>Antoine Delhoume</v>
      </c>
      <c r="Q747" t="str">
        <f t="shared" si="65"/>
        <v>102753adelhoume</v>
      </c>
    </row>
    <row r="748" spans="1:17" hidden="1" x14ac:dyDescent="0.4">
      <c r="A748">
        <v>893</v>
      </c>
      <c r="B748" s="2"/>
      <c r="C748" s="4">
        <v>45908</v>
      </c>
      <c r="D748" s="5">
        <v>0.66666666666666663</v>
      </c>
      <c r="E748" s="5">
        <v>0.72916666666666663</v>
      </c>
      <c r="F748" s="2" t="s">
        <v>9</v>
      </c>
      <c r="G748" s="2" t="s">
        <v>10</v>
      </c>
      <c r="H748" s="2" t="s">
        <v>377</v>
      </c>
      <c r="I748" s="2" t="s">
        <v>378</v>
      </c>
      <c r="J748" s="2">
        <v>104855</v>
      </c>
      <c r="K748" s="2" t="s">
        <v>379</v>
      </c>
      <c r="L748" s="2" t="s">
        <v>14</v>
      </c>
      <c r="M748" t="str">
        <f t="shared" ref="M748:M757" si="68">K748 &amp; " " &amp; I748</f>
        <v>Michel Mélodie</v>
      </c>
      <c r="Q748" t="str">
        <f t="shared" si="65"/>
        <v>104855mmichel1</v>
      </c>
    </row>
    <row r="749" spans="1:17" hidden="1" x14ac:dyDescent="0.4">
      <c r="A749">
        <v>895</v>
      </c>
      <c r="B749" s="2"/>
      <c r="C749" s="4">
        <v>45908</v>
      </c>
      <c r="D749" s="5">
        <v>0.58333333333333337</v>
      </c>
      <c r="E749" s="5">
        <v>0.64583333333333337</v>
      </c>
      <c r="F749" s="2" t="s">
        <v>9</v>
      </c>
      <c r="G749" s="2" t="s">
        <v>10</v>
      </c>
      <c r="H749" s="2" t="s">
        <v>377</v>
      </c>
      <c r="I749" s="2" t="s">
        <v>378</v>
      </c>
      <c r="J749" s="2">
        <v>104551</v>
      </c>
      <c r="K749" s="2" t="s">
        <v>379</v>
      </c>
      <c r="L749" s="2" t="s">
        <v>14</v>
      </c>
      <c r="M749" t="str">
        <f t="shared" si="68"/>
        <v>Michel Mélodie</v>
      </c>
      <c r="Q749" t="str">
        <f t="shared" si="65"/>
        <v>104551mmichel1</v>
      </c>
    </row>
    <row r="750" spans="1:17" hidden="1" x14ac:dyDescent="0.4">
      <c r="A750">
        <v>896</v>
      </c>
      <c r="B750" s="2"/>
      <c r="C750" s="4">
        <v>45908</v>
      </c>
      <c r="D750" s="5">
        <v>0.47916666666666669</v>
      </c>
      <c r="E750" s="5">
        <v>0.54166666666666663</v>
      </c>
      <c r="F750" s="2" t="s">
        <v>9</v>
      </c>
      <c r="G750" s="2" t="s">
        <v>10</v>
      </c>
      <c r="H750" s="2" t="s">
        <v>377</v>
      </c>
      <c r="I750" s="2" t="s">
        <v>378</v>
      </c>
      <c r="J750" s="2">
        <v>104550</v>
      </c>
      <c r="K750" s="2" t="s">
        <v>379</v>
      </c>
      <c r="L750" s="2" t="s">
        <v>14</v>
      </c>
      <c r="M750" t="str">
        <f t="shared" si="68"/>
        <v>Michel Mélodie</v>
      </c>
      <c r="Q750" t="str">
        <f t="shared" si="65"/>
        <v>104550mmichel1</v>
      </c>
    </row>
    <row r="751" spans="1:17" hidden="1" x14ac:dyDescent="0.4">
      <c r="A751">
        <v>897</v>
      </c>
      <c r="B751" s="2"/>
      <c r="C751" s="4">
        <v>45908</v>
      </c>
      <c r="D751" s="5">
        <v>0.375</v>
      </c>
      <c r="E751" s="5">
        <v>0.4375</v>
      </c>
      <c r="F751" s="2" t="s">
        <v>9</v>
      </c>
      <c r="G751" s="2" t="s">
        <v>10</v>
      </c>
      <c r="H751" s="2" t="s">
        <v>377</v>
      </c>
      <c r="I751" s="2" t="s">
        <v>378</v>
      </c>
      <c r="J751" s="2">
        <v>102916</v>
      </c>
      <c r="K751" s="2" t="s">
        <v>379</v>
      </c>
      <c r="L751" s="2" t="s">
        <v>14</v>
      </c>
      <c r="M751" t="str">
        <f t="shared" si="68"/>
        <v>Michel Mélodie</v>
      </c>
      <c r="Q751" t="str">
        <f t="shared" si="65"/>
        <v>102916mmichel1</v>
      </c>
    </row>
    <row r="752" spans="1:17" hidden="1" x14ac:dyDescent="0.4">
      <c r="A752">
        <v>898</v>
      </c>
      <c r="B752" s="2"/>
      <c r="C752" s="4">
        <v>45909</v>
      </c>
      <c r="D752" s="5">
        <v>0.5</v>
      </c>
      <c r="E752" s="5">
        <v>0.54166666666666663</v>
      </c>
      <c r="F752" s="2" t="s">
        <v>9</v>
      </c>
      <c r="G752" s="2" t="s">
        <v>10</v>
      </c>
      <c r="H752" s="2" t="s">
        <v>199</v>
      </c>
      <c r="I752" s="2" t="s">
        <v>200</v>
      </c>
      <c r="J752" s="2">
        <v>102753</v>
      </c>
      <c r="K752" s="2" t="s">
        <v>201</v>
      </c>
      <c r="L752" s="2" t="s">
        <v>14</v>
      </c>
      <c r="M752" t="str">
        <f t="shared" si="68"/>
        <v>Deschodt Florian</v>
      </c>
      <c r="Q752" t="str">
        <f t="shared" ref="Q752:Q806" si="69">J752&amp;H752</f>
        <v>102753fdeschodt</v>
      </c>
    </row>
    <row r="753" spans="1:17" hidden="1" x14ac:dyDescent="0.4">
      <c r="A753">
        <v>899</v>
      </c>
      <c r="B753" s="2"/>
      <c r="C753" s="4">
        <v>45909</v>
      </c>
      <c r="D753" s="5">
        <v>0.5</v>
      </c>
      <c r="E753" s="5">
        <v>0.54166666666666663</v>
      </c>
      <c r="F753" s="2" t="s">
        <v>9</v>
      </c>
      <c r="G753" s="2" t="s">
        <v>10</v>
      </c>
      <c r="H753" s="2" t="s">
        <v>583</v>
      </c>
      <c r="I753" s="2" t="s">
        <v>578</v>
      </c>
      <c r="J753" s="2">
        <v>102753</v>
      </c>
      <c r="K753" s="2" t="s">
        <v>584</v>
      </c>
      <c r="L753" s="2" t="s">
        <v>18</v>
      </c>
      <c r="M753" t="str">
        <f t="shared" si="68"/>
        <v>Dieny Victor</v>
      </c>
      <c r="Q753" t="str">
        <f t="shared" si="69"/>
        <v>102753vdieny</v>
      </c>
    </row>
    <row r="754" spans="1:17" hidden="1" x14ac:dyDescent="0.4">
      <c r="A754">
        <v>900</v>
      </c>
      <c r="B754" s="2"/>
      <c r="C754" s="4">
        <v>45908</v>
      </c>
      <c r="D754" s="5">
        <v>0.66666666666666663</v>
      </c>
      <c r="E754" s="5">
        <v>0.72916666666666663</v>
      </c>
      <c r="F754" s="2" t="s">
        <v>9</v>
      </c>
      <c r="G754" s="2" t="s">
        <v>10</v>
      </c>
      <c r="H754" s="2" t="s">
        <v>339</v>
      </c>
      <c r="I754" s="2" t="s">
        <v>337</v>
      </c>
      <c r="J754" s="2">
        <v>104855</v>
      </c>
      <c r="K754" s="2" t="s">
        <v>340</v>
      </c>
      <c r="L754" s="2" t="s">
        <v>14</v>
      </c>
      <c r="M754" t="str">
        <f t="shared" si="68"/>
        <v>Minghetti Léo</v>
      </c>
      <c r="Q754" t="str">
        <f t="shared" si="69"/>
        <v>104855lminghetti</v>
      </c>
    </row>
    <row r="755" spans="1:17" hidden="1" x14ac:dyDescent="0.4">
      <c r="A755">
        <v>902</v>
      </c>
      <c r="B755" s="2"/>
      <c r="C755" s="4">
        <v>45908</v>
      </c>
      <c r="D755" s="5">
        <v>0.58333333333333337</v>
      </c>
      <c r="E755" s="5">
        <v>0.64583333333333337</v>
      </c>
      <c r="F755" s="2" t="s">
        <v>9</v>
      </c>
      <c r="G755" s="2" t="s">
        <v>10</v>
      </c>
      <c r="H755" s="2" t="s">
        <v>339</v>
      </c>
      <c r="I755" s="2" t="s">
        <v>337</v>
      </c>
      <c r="J755" s="2">
        <v>104551</v>
      </c>
      <c r="K755" s="2" t="s">
        <v>340</v>
      </c>
      <c r="L755" s="2" t="s">
        <v>14</v>
      </c>
      <c r="M755" t="str">
        <f t="shared" si="68"/>
        <v>Minghetti Léo</v>
      </c>
      <c r="Q755" t="str">
        <f t="shared" si="69"/>
        <v>104551lminghetti</v>
      </c>
    </row>
    <row r="756" spans="1:17" hidden="1" x14ac:dyDescent="0.4">
      <c r="A756">
        <v>903</v>
      </c>
      <c r="B756" s="2"/>
      <c r="C756" s="4">
        <v>45908</v>
      </c>
      <c r="D756" s="5">
        <v>0.47916666666666669</v>
      </c>
      <c r="E756" s="5">
        <v>0.54166666666666663</v>
      </c>
      <c r="F756" s="2" t="s">
        <v>9</v>
      </c>
      <c r="G756" s="2" t="s">
        <v>10</v>
      </c>
      <c r="H756" s="2" t="s">
        <v>339</v>
      </c>
      <c r="I756" s="2" t="s">
        <v>337</v>
      </c>
      <c r="J756" s="2">
        <v>104550</v>
      </c>
      <c r="K756" s="2" t="s">
        <v>340</v>
      </c>
      <c r="L756" s="2" t="s">
        <v>14</v>
      </c>
      <c r="M756" t="str">
        <f t="shared" si="68"/>
        <v>Minghetti Léo</v>
      </c>
      <c r="Q756" t="str">
        <f t="shared" si="69"/>
        <v>104550lminghetti</v>
      </c>
    </row>
    <row r="757" spans="1:17" hidden="1" x14ac:dyDescent="0.4">
      <c r="A757">
        <v>904</v>
      </c>
      <c r="B757" s="2"/>
      <c r="C757" s="4">
        <v>45908</v>
      </c>
      <c r="D757" s="5">
        <v>0.375</v>
      </c>
      <c r="E757" s="5">
        <v>0.4375</v>
      </c>
      <c r="F757" s="2" t="s">
        <v>9</v>
      </c>
      <c r="G757" s="2" t="s">
        <v>10</v>
      </c>
      <c r="H757" s="2" t="s">
        <v>339</v>
      </c>
      <c r="I757" s="2" t="s">
        <v>337</v>
      </c>
      <c r="J757" s="2">
        <v>102916</v>
      </c>
      <c r="K757" s="2" t="s">
        <v>340</v>
      </c>
      <c r="L757" s="2" t="s">
        <v>14</v>
      </c>
      <c r="M757" t="str">
        <f t="shared" si="68"/>
        <v>Minghetti Léo</v>
      </c>
      <c r="Q757" t="str">
        <f t="shared" si="69"/>
        <v>102916lminghetti</v>
      </c>
    </row>
    <row r="758" spans="1:17" hidden="1" x14ac:dyDescent="0.4">
      <c r="A758">
        <v>905</v>
      </c>
      <c r="B758" s="2"/>
      <c r="C758" s="4">
        <v>45909</v>
      </c>
      <c r="D758" s="5">
        <v>0.5</v>
      </c>
      <c r="E758" s="5">
        <v>0.54166666666666663</v>
      </c>
      <c r="F758" s="2" t="s">
        <v>9</v>
      </c>
      <c r="G758" s="2" t="s">
        <v>10</v>
      </c>
      <c r="H758" s="2" t="s">
        <v>33</v>
      </c>
      <c r="I758" s="2" t="s">
        <v>34</v>
      </c>
      <c r="J758" s="2">
        <v>102753</v>
      </c>
      <c r="K758" s="2" t="s">
        <v>35</v>
      </c>
      <c r="L758" s="2" t="s">
        <v>18</v>
      </c>
      <c r="M758" t="str">
        <f>I758 &amp; " " &amp; K758</f>
        <v>Allan d'Orlan de Polignac</v>
      </c>
      <c r="Q758" t="str">
        <f t="shared" si="69"/>
        <v>102753adorlandepolignac</v>
      </c>
    </row>
    <row r="759" spans="1:17" hidden="1" x14ac:dyDescent="0.4">
      <c r="A759">
        <v>906</v>
      </c>
      <c r="B759" s="2"/>
      <c r="C759" s="4">
        <v>45909</v>
      </c>
      <c r="D759" s="5">
        <v>0.5</v>
      </c>
      <c r="E759" s="5">
        <v>0.54166666666666663</v>
      </c>
      <c r="F759" s="2" t="s">
        <v>9</v>
      </c>
      <c r="G759" s="2" t="s">
        <v>10</v>
      </c>
      <c r="H759" s="2" t="s">
        <v>438</v>
      </c>
      <c r="I759" s="2" t="s">
        <v>439</v>
      </c>
      <c r="J759" s="2">
        <v>102753</v>
      </c>
      <c r="K759" s="2" t="s">
        <v>440</v>
      </c>
      <c r="L759" s="2" t="s">
        <v>14</v>
      </c>
      <c r="M759" t="str">
        <f t="shared" ref="M759:M763" si="70">K759 &amp; " " &amp; I759</f>
        <v>Dornik Nadja</v>
      </c>
      <c r="Q759" t="str">
        <f t="shared" si="69"/>
        <v>102753nnadja</v>
      </c>
    </row>
    <row r="760" spans="1:17" hidden="1" x14ac:dyDescent="0.4">
      <c r="A760">
        <v>908</v>
      </c>
      <c r="B760" s="2"/>
      <c r="C760" s="4">
        <v>45908</v>
      </c>
      <c r="D760" s="5">
        <v>0.58333333333333337</v>
      </c>
      <c r="E760" s="5">
        <v>0.64583333333333337</v>
      </c>
      <c r="F760" s="2" t="s">
        <v>9</v>
      </c>
      <c r="G760" s="2" t="s">
        <v>10</v>
      </c>
      <c r="H760" s="2" t="s">
        <v>380</v>
      </c>
      <c r="I760" s="2" t="s">
        <v>381</v>
      </c>
      <c r="J760" s="2">
        <v>104551</v>
      </c>
      <c r="K760" s="2" t="s">
        <v>382</v>
      </c>
      <c r="L760" s="2" t="s">
        <v>14</v>
      </c>
      <c r="M760" t="str">
        <f t="shared" si="70"/>
        <v>Mnatsakanyan Mariam</v>
      </c>
      <c r="Q760" t="str">
        <f t="shared" si="69"/>
        <v>104551mmnatsakanyan</v>
      </c>
    </row>
    <row r="761" spans="1:17" hidden="1" x14ac:dyDescent="0.4">
      <c r="A761">
        <v>909</v>
      </c>
      <c r="B761" s="2"/>
      <c r="C761" s="4">
        <v>45908</v>
      </c>
      <c r="D761" s="5">
        <v>0.47916666666666669</v>
      </c>
      <c r="E761" s="5">
        <v>0.54166666666666663</v>
      </c>
      <c r="F761" s="2" t="s">
        <v>9</v>
      </c>
      <c r="G761" s="2" t="s">
        <v>10</v>
      </c>
      <c r="H761" s="2" t="s">
        <v>380</v>
      </c>
      <c r="I761" s="2" t="s">
        <v>381</v>
      </c>
      <c r="J761" s="2">
        <v>104550</v>
      </c>
      <c r="K761" s="2" t="s">
        <v>382</v>
      </c>
      <c r="L761" s="2" t="s">
        <v>14</v>
      </c>
      <c r="M761" t="str">
        <f t="shared" si="70"/>
        <v>Mnatsakanyan Mariam</v>
      </c>
      <c r="Q761" t="str">
        <f t="shared" si="69"/>
        <v>104550mmnatsakanyan</v>
      </c>
    </row>
    <row r="762" spans="1:17" hidden="1" x14ac:dyDescent="0.4">
      <c r="A762">
        <v>910</v>
      </c>
      <c r="B762" s="2"/>
      <c r="C762" s="4">
        <v>45908</v>
      </c>
      <c r="D762" s="5">
        <v>0.375</v>
      </c>
      <c r="E762" s="5">
        <v>0.4375</v>
      </c>
      <c r="F762" s="2" t="s">
        <v>9</v>
      </c>
      <c r="G762" s="2" t="s">
        <v>10</v>
      </c>
      <c r="H762" s="2" t="s">
        <v>380</v>
      </c>
      <c r="I762" s="2" t="s">
        <v>381</v>
      </c>
      <c r="J762" s="2">
        <v>102916</v>
      </c>
      <c r="K762" s="2" t="s">
        <v>382</v>
      </c>
      <c r="L762" s="2" t="s">
        <v>14</v>
      </c>
      <c r="M762" t="str">
        <f t="shared" si="70"/>
        <v>Mnatsakanyan Mariam</v>
      </c>
      <c r="Q762" t="str">
        <f t="shared" si="69"/>
        <v>102916mmnatsakanyan</v>
      </c>
    </row>
    <row r="763" spans="1:17" hidden="1" x14ac:dyDescent="0.4">
      <c r="A763">
        <v>911</v>
      </c>
      <c r="B763" s="2"/>
      <c r="C763" s="4">
        <v>45909</v>
      </c>
      <c r="D763" s="5">
        <v>0.5</v>
      </c>
      <c r="E763" s="5">
        <v>0.54166666666666663</v>
      </c>
      <c r="F763" s="2" t="s">
        <v>9</v>
      </c>
      <c r="G763" s="2" t="s">
        <v>10</v>
      </c>
      <c r="H763" s="2" t="s">
        <v>151</v>
      </c>
      <c r="I763" s="2" t="s">
        <v>152</v>
      </c>
      <c r="J763" s="2">
        <v>102753</v>
      </c>
      <c r="K763" s="2" t="s">
        <v>153</v>
      </c>
      <c r="L763" s="2" t="s">
        <v>14</v>
      </c>
      <c r="M763" t="str">
        <f t="shared" si="70"/>
        <v>Doumic Elisabeth</v>
      </c>
      <c r="Q763" t="str">
        <f t="shared" si="69"/>
        <v>102753edoumic</v>
      </c>
    </row>
    <row r="764" spans="1:17" hidden="1" x14ac:dyDescent="0.4">
      <c r="A764">
        <v>912</v>
      </c>
      <c r="B764" s="2"/>
      <c r="C764" s="4">
        <v>45909</v>
      </c>
      <c r="D764" s="5">
        <v>0.5</v>
      </c>
      <c r="E764" s="5">
        <v>0.54166666666666663</v>
      </c>
      <c r="F764" s="2" t="s">
        <v>9</v>
      </c>
      <c r="G764" s="2" t="s">
        <v>10</v>
      </c>
      <c r="H764" s="2" t="s">
        <v>272</v>
      </c>
      <c r="I764" s="2" t="s">
        <v>273</v>
      </c>
      <c r="J764" s="2">
        <v>102753</v>
      </c>
      <c r="K764" s="2" t="s">
        <v>274</v>
      </c>
      <c r="L764" s="2" t="s">
        <v>18</v>
      </c>
      <c r="M764" t="str">
        <f>I764 &amp; " " &amp; K764</f>
        <v>Jules Doursout</v>
      </c>
      <c r="Q764" t="str">
        <f t="shared" si="69"/>
        <v>102753jdoursout</v>
      </c>
    </row>
    <row r="765" spans="1:17" hidden="1" x14ac:dyDescent="0.4">
      <c r="A765">
        <v>913</v>
      </c>
      <c r="B765" s="2"/>
      <c r="C765" s="4">
        <v>45908</v>
      </c>
      <c r="D765" s="5">
        <v>0.66666666666666663</v>
      </c>
      <c r="E765" s="5">
        <v>0.72916666666666663</v>
      </c>
      <c r="F765" s="2" t="s">
        <v>9</v>
      </c>
      <c r="G765" s="2" t="s">
        <v>10</v>
      </c>
      <c r="H765" s="2" t="s">
        <v>68</v>
      </c>
      <c r="I765" s="2" t="s">
        <v>69</v>
      </c>
      <c r="J765" s="2">
        <v>104855</v>
      </c>
      <c r="K765" s="2" t="s">
        <v>70</v>
      </c>
      <c r="L765" s="2" t="s">
        <v>18</v>
      </c>
      <c r="M765" t="str">
        <f>I765 &amp; " " &amp; K765</f>
        <v>Alan Moen</v>
      </c>
      <c r="Q765" t="str">
        <f t="shared" si="69"/>
        <v>104855amoen</v>
      </c>
    </row>
    <row r="766" spans="1:17" hidden="1" x14ac:dyDescent="0.4">
      <c r="A766">
        <v>915</v>
      </c>
      <c r="B766" s="2"/>
      <c r="C766" s="4">
        <v>45908</v>
      </c>
      <c r="D766" s="5">
        <v>0.58333333333333337</v>
      </c>
      <c r="E766" s="5">
        <v>0.64583333333333337</v>
      </c>
      <c r="F766" s="2" t="s">
        <v>9</v>
      </c>
      <c r="G766" s="2" t="s">
        <v>10</v>
      </c>
      <c r="H766" s="2" t="s">
        <v>68</v>
      </c>
      <c r="I766" s="2" t="s">
        <v>69</v>
      </c>
      <c r="J766" s="2">
        <v>104551</v>
      </c>
      <c r="K766" s="2" t="s">
        <v>70</v>
      </c>
      <c r="L766" s="2" t="s">
        <v>18</v>
      </c>
      <c r="M766" t="str">
        <f t="shared" ref="M766:M771" si="71">I766 &amp; " " &amp; K766</f>
        <v>Alan Moen</v>
      </c>
      <c r="Q766" t="str">
        <f t="shared" si="69"/>
        <v>104551amoen</v>
      </c>
    </row>
    <row r="767" spans="1:17" hidden="1" x14ac:dyDescent="0.4">
      <c r="A767">
        <v>916</v>
      </c>
      <c r="B767" s="2"/>
      <c r="C767" s="4">
        <v>45908</v>
      </c>
      <c r="D767" s="5">
        <v>0.47916666666666669</v>
      </c>
      <c r="E767" s="5">
        <v>0.54166666666666663</v>
      </c>
      <c r="F767" s="2" t="s">
        <v>9</v>
      </c>
      <c r="G767" s="2" t="s">
        <v>10</v>
      </c>
      <c r="H767" s="2" t="s">
        <v>68</v>
      </c>
      <c r="I767" s="2" t="s">
        <v>69</v>
      </c>
      <c r="J767" s="2">
        <v>104550</v>
      </c>
      <c r="K767" s="2" t="s">
        <v>70</v>
      </c>
      <c r="L767" s="2" t="s">
        <v>18</v>
      </c>
      <c r="M767" t="str">
        <f t="shared" si="71"/>
        <v>Alan Moen</v>
      </c>
      <c r="Q767" t="str">
        <f t="shared" si="69"/>
        <v>104550amoen</v>
      </c>
    </row>
    <row r="768" spans="1:17" hidden="1" x14ac:dyDescent="0.4">
      <c r="A768">
        <v>917</v>
      </c>
      <c r="B768" s="2"/>
      <c r="C768" s="4">
        <v>45908</v>
      </c>
      <c r="D768" s="5">
        <v>0.375</v>
      </c>
      <c r="E768" s="5">
        <v>0.4375</v>
      </c>
      <c r="F768" s="2" t="s">
        <v>9</v>
      </c>
      <c r="G768" s="2" t="s">
        <v>10</v>
      </c>
      <c r="H768" s="2" t="s">
        <v>68</v>
      </c>
      <c r="I768" s="2" t="s">
        <v>69</v>
      </c>
      <c r="J768" s="2">
        <v>102916</v>
      </c>
      <c r="K768" s="2" t="s">
        <v>70</v>
      </c>
      <c r="L768" s="2" t="s">
        <v>18</v>
      </c>
      <c r="M768" t="str">
        <f t="shared" si="71"/>
        <v>Alan Moen</v>
      </c>
      <c r="Q768" t="str">
        <f t="shared" si="69"/>
        <v>102916amoen</v>
      </c>
    </row>
    <row r="769" spans="1:17" hidden="1" x14ac:dyDescent="0.4">
      <c r="A769">
        <v>918</v>
      </c>
      <c r="B769" s="2"/>
      <c r="C769" s="4">
        <v>45909</v>
      </c>
      <c r="D769" s="5">
        <v>0.5</v>
      </c>
      <c r="E769" s="5">
        <v>0.54166666666666663</v>
      </c>
      <c r="F769" s="2" t="s">
        <v>9</v>
      </c>
      <c r="G769" s="2" t="s">
        <v>10</v>
      </c>
      <c r="H769" s="2" t="s">
        <v>275</v>
      </c>
      <c r="I769" s="2" t="s">
        <v>276</v>
      </c>
      <c r="J769" s="2">
        <v>102753</v>
      </c>
      <c r="K769" s="2" t="s">
        <v>277</v>
      </c>
      <c r="L769" s="2" t="s">
        <v>18</v>
      </c>
      <c r="M769" t="str">
        <f t="shared" si="71"/>
        <v>Jingrun du</v>
      </c>
      <c r="Q769" t="str">
        <f t="shared" si="69"/>
        <v>102753jdu</v>
      </c>
    </row>
    <row r="770" spans="1:17" hidden="1" x14ac:dyDescent="0.4">
      <c r="A770">
        <v>919</v>
      </c>
      <c r="B770" s="2"/>
      <c r="C770" s="4">
        <v>45909</v>
      </c>
      <c r="D770" s="5">
        <v>0.5</v>
      </c>
      <c r="E770" s="5">
        <v>0.54166666666666663</v>
      </c>
      <c r="F770" s="2" t="s">
        <v>9</v>
      </c>
      <c r="G770" s="2" t="s">
        <v>10</v>
      </c>
      <c r="H770" s="2" t="s">
        <v>418</v>
      </c>
      <c r="I770" s="2" t="s">
        <v>419</v>
      </c>
      <c r="J770" s="2">
        <v>102753</v>
      </c>
      <c r="K770" s="2" t="s">
        <v>420</v>
      </c>
      <c r="L770" s="2" t="s">
        <v>18</v>
      </c>
      <c r="M770" t="str">
        <f t="shared" si="71"/>
        <v>Noam Duboille</v>
      </c>
      <c r="Q770" t="str">
        <f t="shared" si="69"/>
        <v>102753nduboille</v>
      </c>
    </row>
    <row r="771" spans="1:17" hidden="1" x14ac:dyDescent="0.4">
      <c r="A771">
        <v>920</v>
      </c>
      <c r="B771" s="2"/>
      <c r="C771" s="4">
        <v>45908</v>
      </c>
      <c r="D771" s="5">
        <v>0.66666666666666663</v>
      </c>
      <c r="E771" s="5">
        <v>0.72916666666666663</v>
      </c>
      <c r="F771" s="2" t="s">
        <v>9</v>
      </c>
      <c r="G771" s="2" t="s">
        <v>10</v>
      </c>
      <c r="H771" s="2" t="s">
        <v>204</v>
      </c>
      <c r="I771" s="2" t="s">
        <v>205</v>
      </c>
      <c r="J771" s="2">
        <v>104855</v>
      </c>
      <c r="K771" s="2" t="s">
        <v>206</v>
      </c>
      <c r="L771" s="2" t="s">
        <v>18</v>
      </c>
      <c r="M771" t="str">
        <f t="shared" si="71"/>
        <v>Félicien Moisseron</v>
      </c>
      <c r="Q771" t="str">
        <f t="shared" si="69"/>
        <v>104855fmoisseron</v>
      </c>
    </row>
    <row r="772" spans="1:17" hidden="1" x14ac:dyDescent="0.4">
      <c r="A772">
        <v>922</v>
      </c>
      <c r="B772" s="2"/>
      <c r="C772" s="4">
        <v>45908</v>
      </c>
      <c r="D772" s="5">
        <v>0.58333333333333337</v>
      </c>
      <c r="E772" s="5">
        <v>0.64583333333333337</v>
      </c>
      <c r="F772" s="2" t="s">
        <v>9</v>
      </c>
      <c r="G772" s="2" t="s">
        <v>10</v>
      </c>
      <c r="H772" s="2" t="s">
        <v>204</v>
      </c>
      <c r="I772" s="2" t="s">
        <v>205</v>
      </c>
      <c r="J772" s="2">
        <v>104551</v>
      </c>
      <c r="K772" s="2" t="s">
        <v>206</v>
      </c>
      <c r="L772" s="2" t="s">
        <v>18</v>
      </c>
      <c r="M772" t="str">
        <f>I772 &amp; " " &amp; K772</f>
        <v>Félicien Moisseron</v>
      </c>
      <c r="Q772" t="str">
        <f t="shared" si="69"/>
        <v>104551fmoisseron</v>
      </c>
    </row>
    <row r="773" spans="1:17" hidden="1" x14ac:dyDescent="0.4">
      <c r="A773">
        <v>923</v>
      </c>
      <c r="B773" s="2"/>
      <c r="C773" s="4">
        <v>45908</v>
      </c>
      <c r="D773" s="5">
        <v>0.47916666666666669</v>
      </c>
      <c r="E773" s="5">
        <v>0.54166666666666663</v>
      </c>
      <c r="F773" s="2" t="s">
        <v>9</v>
      </c>
      <c r="G773" s="2" t="s">
        <v>10</v>
      </c>
      <c r="H773" s="2" t="s">
        <v>204</v>
      </c>
      <c r="I773" s="2" t="s">
        <v>205</v>
      </c>
      <c r="J773" s="2">
        <v>104550</v>
      </c>
      <c r="K773" s="2" t="s">
        <v>206</v>
      </c>
      <c r="L773" s="2" t="s">
        <v>18</v>
      </c>
      <c r="M773" t="str">
        <f>I773 &amp; " " &amp; K773</f>
        <v>Félicien Moisseron</v>
      </c>
      <c r="Q773" t="str">
        <f t="shared" si="69"/>
        <v>104550fmoisseron</v>
      </c>
    </row>
    <row r="774" spans="1:17" hidden="1" x14ac:dyDescent="0.4">
      <c r="A774">
        <v>924</v>
      </c>
      <c r="B774" s="2"/>
      <c r="C774" s="4">
        <v>45908</v>
      </c>
      <c r="D774" s="5">
        <v>0.375</v>
      </c>
      <c r="E774" s="5">
        <v>0.4375</v>
      </c>
      <c r="F774" s="2" t="s">
        <v>9</v>
      </c>
      <c r="G774" s="2" t="s">
        <v>10</v>
      </c>
      <c r="H774" s="2" t="s">
        <v>204</v>
      </c>
      <c r="I774" s="2" t="s">
        <v>205</v>
      </c>
      <c r="J774" s="2">
        <v>102916</v>
      </c>
      <c r="K774" s="2" t="s">
        <v>206</v>
      </c>
      <c r="L774" s="2" t="s">
        <v>18</v>
      </c>
      <c r="M774" t="str">
        <f>K774 &amp; " " &amp; I774</f>
        <v>Moisseron Félicien</v>
      </c>
      <c r="Q774" t="str">
        <f t="shared" si="69"/>
        <v>102916fmoisseron</v>
      </c>
    </row>
    <row r="775" spans="1:17" hidden="1" x14ac:dyDescent="0.4">
      <c r="A775">
        <v>925</v>
      </c>
      <c r="B775" s="2"/>
      <c r="C775" s="4">
        <v>45909</v>
      </c>
      <c r="D775" s="5">
        <v>0.5</v>
      </c>
      <c r="E775" s="5">
        <v>0.54166666666666663</v>
      </c>
      <c r="F775" s="2" t="s">
        <v>9</v>
      </c>
      <c r="G775" s="2" t="s">
        <v>10</v>
      </c>
      <c r="H775" s="2" t="s">
        <v>306</v>
      </c>
      <c r="I775" s="2" t="s">
        <v>307</v>
      </c>
      <c r="J775" s="2">
        <v>102753</v>
      </c>
      <c r="K775" s="2" t="s">
        <v>308</v>
      </c>
      <c r="L775" s="2" t="s">
        <v>14</v>
      </c>
      <c r="M775" t="str">
        <f>K775 &amp; " " &amp; I775</f>
        <v>Dutreix Lou Anne</v>
      </c>
      <c r="Q775" t="str">
        <f t="shared" si="69"/>
        <v>102753ladutreix</v>
      </c>
    </row>
    <row r="776" spans="1:17" hidden="1" x14ac:dyDescent="0.4">
      <c r="A776">
        <v>926</v>
      </c>
      <c r="B776" s="2"/>
      <c r="C776" s="4">
        <v>45909</v>
      </c>
      <c r="D776" s="5">
        <v>0.5</v>
      </c>
      <c r="E776" s="5">
        <v>0.54166666666666663</v>
      </c>
      <c r="F776" s="2" t="s">
        <v>9</v>
      </c>
      <c r="G776" s="2" t="s">
        <v>10</v>
      </c>
      <c r="H776" s="2" t="s">
        <v>39</v>
      </c>
      <c r="I776" s="2" t="s">
        <v>40</v>
      </c>
      <c r="J776" s="2">
        <v>102753</v>
      </c>
      <c r="K776" s="2" t="s">
        <v>41</v>
      </c>
      <c r="L776" s="2" t="s">
        <v>18</v>
      </c>
      <c r="M776" t="str">
        <f>I776 &amp; " " &amp; K776</f>
        <v>Aseman Esmaeilzadeh</v>
      </c>
      <c r="Q776" t="str">
        <f t="shared" si="69"/>
        <v>102753aesmaeilzadeh</v>
      </c>
    </row>
    <row r="777" spans="1:17" hidden="1" x14ac:dyDescent="0.4">
      <c r="A777">
        <v>927</v>
      </c>
      <c r="B777" s="2"/>
      <c r="C777" s="4">
        <v>45908</v>
      </c>
      <c r="D777" s="5">
        <v>0.66666666666666663</v>
      </c>
      <c r="E777" s="5">
        <v>0.72916666666666663</v>
      </c>
      <c r="F777" s="2" t="s">
        <v>9</v>
      </c>
      <c r="G777" s="2" t="s">
        <v>10</v>
      </c>
      <c r="H777" s="2" t="s">
        <v>71</v>
      </c>
      <c r="I777" s="2" t="s">
        <v>72</v>
      </c>
      <c r="J777" s="2">
        <v>104855</v>
      </c>
      <c r="K777" s="2" t="s">
        <v>73</v>
      </c>
      <c r="L777" s="2" t="s">
        <v>18</v>
      </c>
      <c r="M777" t="str">
        <f>I777 &amp; " " &amp; K777</f>
        <v>Arcadi Moreira</v>
      </c>
      <c r="Q777" t="str">
        <f t="shared" si="69"/>
        <v>104855amoreira1</v>
      </c>
    </row>
    <row r="778" spans="1:17" hidden="1" x14ac:dyDescent="0.4">
      <c r="A778">
        <v>929</v>
      </c>
      <c r="B778" s="2"/>
      <c r="C778" s="4">
        <v>45908</v>
      </c>
      <c r="D778" s="5">
        <v>0.58333333333333337</v>
      </c>
      <c r="E778" s="5">
        <v>0.64583333333333337</v>
      </c>
      <c r="F778" s="2" t="s">
        <v>9</v>
      </c>
      <c r="G778" s="2" t="s">
        <v>10</v>
      </c>
      <c r="H778" s="2" t="s">
        <v>71</v>
      </c>
      <c r="I778" s="2" t="s">
        <v>72</v>
      </c>
      <c r="J778" s="2">
        <v>104551</v>
      </c>
      <c r="K778" s="2" t="s">
        <v>73</v>
      </c>
      <c r="L778" s="2" t="s">
        <v>18</v>
      </c>
      <c r="M778" t="str">
        <f>I778 &amp; " " &amp; K778</f>
        <v>Arcadi Moreira</v>
      </c>
      <c r="Q778" t="str">
        <f t="shared" si="69"/>
        <v>104551amoreira1</v>
      </c>
    </row>
    <row r="779" spans="1:17" hidden="1" x14ac:dyDescent="0.4">
      <c r="A779">
        <v>930</v>
      </c>
      <c r="B779" s="2"/>
      <c r="C779" s="4">
        <v>45908</v>
      </c>
      <c r="D779" s="5">
        <v>0.47916666666666669</v>
      </c>
      <c r="E779" s="5">
        <v>0.54166666666666663</v>
      </c>
      <c r="F779" s="2" t="s">
        <v>9</v>
      </c>
      <c r="G779" s="2" t="s">
        <v>10</v>
      </c>
      <c r="H779" s="2" t="s">
        <v>71</v>
      </c>
      <c r="I779" s="2" t="s">
        <v>72</v>
      </c>
      <c r="J779" s="2">
        <v>104550</v>
      </c>
      <c r="K779" s="2" t="s">
        <v>73</v>
      </c>
      <c r="L779" s="2" t="s">
        <v>18</v>
      </c>
      <c r="M779" t="str">
        <f>I779 &amp; " " &amp; K779</f>
        <v>Arcadi Moreira</v>
      </c>
      <c r="Q779" t="str">
        <f t="shared" si="69"/>
        <v>104550amoreira1</v>
      </c>
    </row>
    <row r="780" spans="1:17" hidden="1" x14ac:dyDescent="0.4">
      <c r="A780">
        <v>931</v>
      </c>
      <c r="B780" s="2"/>
      <c r="C780" s="4">
        <v>45908</v>
      </c>
      <c r="D780" s="5">
        <v>0.375</v>
      </c>
      <c r="E780" s="5">
        <v>0.4375</v>
      </c>
      <c r="F780" s="2" t="s">
        <v>9</v>
      </c>
      <c r="G780" s="2" t="s">
        <v>10</v>
      </c>
      <c r="H780" s="2" t="s">
        <v>71</v>
      </c>
      <c r="I780" s="2" t="s">
        <v>72</v>
      </c>
      <c r="J780" s="2">
        <v>102916</v>
      </c>
      <c r="K780" s="2" t="s">
        <v>73</v>
      </c>
      <c r="L780" s="2" t="s">
        <v>18</v>
      </c>
      <c r="M780" t="str">
        <f>K780 &amp; " " &amp; I780</f>
        <v>Moreira Arcadi</v>
      </c>
      <c r="Q780" t="str">
        <f t="shared" si="69"/>
        <v>102916amoreira1</v>
      </c>
    </row>
    <row r="781" spans="1:17" hidden="1" x14ac:dyDescent="0.4">
      <c r="A781">
        <v>932</v>
      </c>
      <c r="B781" s="2"/>
      <c r="C781" s="4">
        <v>45909</v>
      </c>
      <c r="D781" s="5">
        <v>0.5</v>
      </c>
      <c r="E781" s="5">
        <v>0.54166666666666663</v>
      </c>
      <c r="F781" s="2" t="s">
        <v>9</v>
      </c>
      <c r="G781" s="2" t="s">
        <v>10</v>
      </c>
      <c r="H781" s="2" t="s">
        <v>585</v>
      </c>
      <c r="I781" s="2" t="s">
        <v>586</v>
      </c>
      <c r="J781" s="2">
        <v>102753</v>
      </c>
      <c r="K781" s="2" t="s">
        <v>587</v>
      </c>
      <c r="L781" s="2" t="s">
        <v>18</v>
      </c>
      <c r="M781" t="str">
        <f>I781 &amp; " " &amp; K781</f>
        <v>Violette Esnault</v>
      </c>
      <c r="Q781" t="str">
        <f t="shared" si="69"/>
        <v>102753vesnault</v>
      </c>
    </row>
    <row r="782" spans="1:17" hidden="1" x14ac:dyDescent="0.4">
      <c r="A782">
        <v>933</v>
      </c>
      <c r="B782" s="2"/>
      <c r="C782" s="4">
        <v>45909</v>
      </c>
      <c r="D782" s="5">
        <v>0.5</v>
      </c>
      <c r="E782" s="5">
        <v>0.54166666666666663</v>
      </c>
      <c r="F782" s="2" t="s">
        <v>9</v>
      </c>
      <c r="G782" s="2" t="s">
        <v>10</v>
      </c>
      <c r="H782" s="2" t="s">
        <v>298</v>
      </c>
      <c r="I782" s="2" t="s">
        <v>299</v>
      </c>
      <c r="J782" s="2">
        <v>102753</v>
      </c>
      <c r="K782" s="2" t="s">
        <v>300</v>
      </c>
      <c r="L782" s="2" t="s">
        <v>14</v>
      </c>
      <c r="M782" t="str">
        <f>K782 &amp; " " &amp; I782</f>
        <v>Espinasse Karl</v>
      </c>
      <c r="Q782" t="str">
        <f t="shared" si="69"/>
        <v>102753kespinasse</v>
      </c>
    </row>
    <row r="783" spans="1:17" hidden="1" x14ac:dyDescent="0.4">
      <c r="A783">
        <v>934</v>
      </c>
      <c r="B783" s="2"/>
      <c r="C783" s="4">
        <v>45908</v>
      </c>
      <c r="D783" s="5">
        <v>0.66666666666666663</v>
      </c>
      <c r="E783" s="5">
        <v>0.72916666666666663</v>
      </c>
      <c r="F783" s="2" t="s">
        <v>9</v>
      </c>
      <c r="G783" s="2" t="s">
        <v>10</v>
      </c>
      <c r="H783" s="2" t="s">
        <v>421</v>
      </c>
      <c r="I783" s="2" t="s">
        <v>422</v>
      </c>
      <c r="J783" s="2">
        <v>104855</v>
      </c>
      <c r="K783" s="2" t="s">
        <v>423</v>
      </c>
      <c r="L783" s="2" t="s">
        <v>18</v>
      </c>
      <c r="M783" t="str">
        <f>I783 &amp; " " &amp; K783</f>
        <v>Nicolas, Elie Moscardo</v>
      </c>
      <c r="Q783" t="str">
        <f t="shared" si="69"/>
        <v>104855nemoscardo</v>
      </c>
    </row>
    <row r="784" spans="1:17" hidden="1" x14ac:dyDescent="0.4">
      <c r="A784">
        <v>936</v>
      </c>
      <c r="B784" s="2"/>
      <c r="C784" s="4">
        <v>45908</v>
      </c>
      <c r="D784" s="5">
        <v>0.58333333333333337</v>
      </c>
      <c r="E784" s="5">
        <v>0.64583333333333337</v>
      </c>
      <c r="F784" s="2" t="s">
        <v>9</v>
      </c>
      <c r="G784" s="2" t="s">
        <v>10</v>
      </c>
      <c r="H784" s="2" t="s">
        <v>421</v>
      </c>
      <c r="I784" s="2" t="s">
        <v>422</v>
      </c>
      <c r="J784" s="2">
        <v>104551</v>
      </c>
      <c r="K784" s="2" t="s">
        <v>423</v>
      </c>
      <c r="L784" s="2" t="s">
        <v>18</v>
      </c>
      <c r="M784" t="str">
        <f>I784 &amp; " " &amp; K784</f>
        <v>Nicolas, Elie Moscardo</v>
      </c>
      <c r="Q784" t="str">
        <f t="shared" si="69"/>
        <v>104551nemoscardo</v>
      </c>
    </row>
    <row r="785" spans="1:17" hidden="1" x14ac:dyDescent="0.4">
      <c r="A785">
        <v>937</v>
      </c>
      <c r="B785" s="2"/>
      <c r="C785" s="4">
        <v>45908</v>
      </c>
      <c r="D785" s="5">
        <v>0.47916666666666669</v>
      </c>
      <c r="E785" s="5">
        <v>0.54166666666666663</v>
      </c>
      <c r="F785" s="2" t="s">
        <v>9</v>
      </c>
      <c r="G785" s="2" t="s">
        <v>10</v>
      </c>
      <c r="H785" s="2" t="s">
        <v>421</v>
      </c>
      <c r="I785" s="2" t="s">
        <v>422</v>
      </c>
      <c r="J785" s="2">
        <v>104550</v>
      </c>
      <c r="K785" s="2" t="s">
        <v>423</v>
      </c>
      <c r="L785" s="2" t="s">
        <v>18</v>
      </c>
      <c r="M785" t="str">
        <f>I785 &amp; " " &amp; K785</f>
        <v>Nicolas, Elie Moscardo</v>
      </c>
      <c r="Q785" t="str">
        <f t="shared" si="69"/>
        <v>104550nemoscardo</v>
      </c>
    </row>
    <row r="786" spans="1:17" hidden="1" x14ac:dyDescent="0.4">
      <c r="A786">
        <v>938</v>
      </c>
      <c r="B786" s="2"/>
      <c r="C786" s="4">
        <v>45908</v>
      </c>
      <c r="D786" s="5">
        <v>0.375</v>
      </c>
      <c r="E786" s="5">
        <v>0.4375</v>
      </c>
      <c r="F786" s="2" t="s">
        <v>9</v>
      </c>
      <c r="G786" s="2" t="s">
        <v>10</v>
      </c>
      <c r="H786" s="2" t="s">
        <v>421</v>
      </c>
      <c r="I786" s="2" t="s">
        <v>422</v>
      </c>
      <c r="J786" s="2">
        <v>102916</v>
      </c>
      <c r="K786" s="2" t="s">
        <v>423</v>
      </c>
      <c r="L786" s="2" t="s">
        <v>18</v>
      </c>
      <c r="M786" t="str">
        <f>K786 &amp; " " &amp; I786</f>
        <v>Moscardo Nicolas, Elie</v>
      </c>
      <c r="Q786" t="str">
        <f t="shared" si="69"/>
        <v>102916nemoscardo</v>
      </c>
    </row>
    <row r="787" spans="1:17" hidden="1" x14ac:dyDescent="0.4">
      <c r="A787">
        <v>939</v>
      </c>
      <c r="B787" s="2"/>
      <c r="C787" s="4">
        <v>45909</v>
      </c>
      <c r="D787" s="5">
        <v>0.5</v>
      </c>
      <c r="E787" s="5">
        <v>0.54166666666666663</v>
      </c>
      <c r="F787" s="2" t="s">
        <v>9</v>
      </c>
      <c r="G787" s="2" t="s">
        <v>10</v>
      </c>
      <c r="H787" s="2" t="s">
        <v>320</v>
      </c>
      <c r="I787" s="2" t="s">
        <v>321</v>
      </c>
      <c r="J787" s="2">
        <v>102753</v>
      </c>
      <c r="K787" s="2" t="s">
        <v>322</v>
      </c>
      <c r="L787" s="2" t="s">
        <v>18</v>
      </c>
      <c r="M787" t="str">
        <f>I787 &amp; " " &amp; K787</f>
        <v>Lydie Exbrayat</v>
      </c>
      <c r="Q787" t="str">
        <f t="shared" si="69"/>
        <v>102753lexbrayat</v>
      </c>
    </row>
    <row r="788" spans="1:17" hidden="1" x14ac:dyDescent="0.4">
      <c r="A788">
        <v>940</v>
      </c>
      <c r="B788" s="2"/>
      <c r="C788" s="4">
        <v>45909</v>
      </c>
      <c r="D788" s="5">
        <v>0.5</v>
      </c>
      <c r="E788" s="5">
        <v>0.54166666666666663</v>
      </c>
      <c r="F788" s="2" t="s">
        <v>9</v>
      </c>
      <c r="G788" s="2" t="s">
        <v>10</v>
      </c>
      <c r="H788" s="2" t="s">
        <v>465</v>
      </c>
      <c r="I788" s="2" t="s">
        <v>466</v>
      </c>
      <c r="J788" s="2">
        <v>102753</v>
      </c>
      <c r="K788" s="2" t="s">
        <v>467</v>
      </c>
      <c r="L788" s="2" t="s">
        <v>14</v>
      </c>
      <c r="M788" t="str">
        <f>K788 &amp; " " &amp; I788</f>
        <v>Faget Pierre</v>
      </c>
      <c r="Q788" t="str">
        <f t="shared" si="69"/>
        <v>102753pfaget</v>
      </c>
    </row>
    <row r="789" spans="1:17" hidden="1" x14ac:dyDescent="0.4">
      <c r="A789">
        <v>941</v>
      </c>
      <c r="B789" s="2"/>
      <c r="C789" s="4">
        <v>45908</v>
      </c>
      <c r="D789" s="5">
        <v>0.66666666666666663</v>
      </c>
      <c r="E789" s="5">
        <v>0.72916666666666663</v>
      </c>
      <c r="F789" s="2" t="s">
        <v>9</v>
      </c>
      <c r="G789" s="2" t="s">
        <v>10</v>
      </c>
      <c r="H789" s="2" t="s">
        <v>474</v>
      </c>
      <c r="I789" s="2" t="s">
        <v>466</v>
      </c>
      <c r="J789" s="2">
        <v>104855</v>
      </c>
      <c r="K789" s="2" t="s">
        <v>475</v>
      </c>
      <c r="L789" s="2" t="s">
        <v>18</v>
      </c>
      <c r="M789" t="str">
        <f>K789 &amp; " " &amp; I789</f>
        <v>Muslewski Pierre</v>
      </c>
      <c r="Q789" t="str">
        <f t="shared" si="69"/>
        <v>104855pmuslewski</v>
      </c>
    </row>
    <row r="790" spans="1:17" hidden="1" x14ac:dyDescent="0.4">
      <c r="A790">
        <v>943</v>
      </c>
      <c r="B790" s="2"/>
      <c r="C790" s="4">
        <v>45908</v>
      </c>
      <c r="D790" s="5">
        <v>0.58333333333333337</v>
      </c>
      <c r="E790" s="5">
        <v>0.64583333333333337</v>
      </c>
      <c r="F790" s="2" t="s">
        <v>9</v>
      </c>
      <c r="G790" s="2" t="s">
        <v>10</v>
      </c>
      <c r="H790" s="2" t="s">
        <v>474</v>
      </c>
      <c r="I790" s="2" t="s">
        <v>466</v>
      </c>
      <c r="J790" s="2">
        <v>104551</v>
      </c>
      <c r="K790" s="2" t="s">
        <v>475</v>
      </c>
      <c r="L790" s="2" t="s">
        <v>18</v>
      </c>
      <c r="M790" t="str">
        <f>I790 &amp; " " &amp; K790</f>
        <v>Pierre Muslewski</v>
      </c>
      <c r="Q790" t="str">
        <f t="shared" si="69"/>
        <v>104551pmuslewski</v>
      </c>
    </row>
    <row r="791" spans="1:17" hidden="1" x14ac:dyDescent="0.4">
      <c r="A791">
        <v>944</v>
      </c>
      <c r="B791" s="2"/>
      <c r="C791" s="4">
        <v>45908</v>
      </c>
      <c r="D791" s="5">
        <v>0.47916666666666669</v>
      </c>
      <c r="E791" s="5">
        <v>0.54166666666666663</v>
      </c>
      <c r="F791" s="2" t="s">
        <v>9</v>
      </c>
      <c r="G791" s="2" t="s">
        <v>10</v>
      </c>
      <c r="H791" s="2" t="s">
        <v>474</v>
      </c>
      <c r="I791" s="2" t="s">
        <v>466</v>
      </c>
      <c r="J791" s="2">
        <v>104550</v>
      </c>
      <c r="K791" s="2" t="s">
        <v>475</v>
      </c>
      <c r="L791" s="2" t="s">
        <v>18</v>
      </c>
      <c r="M791" t="str">
        <f>I791 &amp; " " &amp; K791</f>
        <v>Pierre Muslewski</v>
      </c>
      <c r="Q791" t="str">
        <f t="shared" si="69"/>
        <v>104550pmuslewski</v>
      </c>
    </row>
    <row r="792" spans="1:17" s="14" customFormat="1" hidden="1" x14ac:dyDescent="0.4">
      <c r="A792">
        <v>945</v>
      </c>
      <c r="B792" s="2"/>
      <c r="C792" s="15">
        <v>45908</v>
      </c>
      <c r="D792" s="16">
        <v>0.375</v>
      </c>
      <c r="E792" s="16">
        <v>0.4375</v>
      </c>
      <c r="F792" s="2" t="s">
        <v>9</v>
      </c>
      <c r="G792" s="2" t="s">
        <v>10</v>
      </c>
      <c r="H792" s="17" t="s">
        <v>474</v>
      </c>
      <c r="I792" s="17" t="s">
        <v>466</v>
      </c>
      <c r="J792" s="17">
        <v>102916</v>
      </c>
      <c r="K792" s="17" t="s">
        <v>475</v>
      </c>
      <c r="L792" s="17" t="s">
        <v>18</v>
      </c>
      <c r="M792" s="14" t="str">
        <f>I792 &amp; " " &amp; K792</f>
        <v>Pierre Muslewski</v>
      </c>
      <c r="Q792" t="str">
        <f t="shared" si="69"/>
        <v>102916pmuslewski</v>
      </c>
    </row>
    <row r="793" spans="1:17" hidden="1" x14ac:dyDescent="0.4">
      <c r="A793">
        <v>946</v>
      </c>
      <c r="B793" s="2"/>
      <c r="C793" s="4">
        <v>45909</v>
      </c>
      <c r="D793" s="5">
        <v>0.5</v>
      </c>
      <c r="E793" s="5">
        <v>0.54166666666666663</v>
      </c>
      <c r="F793" s="2" t="s">
        <v>9</v>
      </c>
      <c r="G793" s="2" t="s">
        <v>10</v>
      </c>
      <c r="H793" s="2" t="s">
        <v>278</v>
      </c>
      <c r="I793" s="2" t="s">
        <v>279</v>
      </c>
      <c r="J793" s="2">
        <v>102753</v>
      </c>
      <c r="K793" s="2" t="s">
        <v>280</v>
      </c>
      <c r="L793" s="2" t="s">
        <v>14</v>
      </c>
      <c r="M793" t="str">
        <f>K793 &amp; " " &amp; I793</f>
        <v>Famchon Jude</v>
      </c>
      <c r="Q793" t="str">
        <f t="shared" si="69"/>
        <v>102753jfamchon</v>
      </c>
    </row>
    <row r="794" spans="1:17" hidden="1" x14ac:dyDescent="0.4">
      <c r="A794">
        <v>947</v>
      </c>
      <c r="B794" s="2"/>
      <c r="C794" s="4">
        <v>45909</v>
      </c>
      <c r="D794" s="5">
        <v>0.5</v>
      </c>
      <c r="E794" s="5">
        <v>0.54166666666666663</v>
      </c>
      <c r="F794" s="2" t="s">
        <v>9</v>
      </c>
      <c r="G794" s="2" t="s">
        <v>10</v>
      </c>
      <c r="H794" s="2" t="s">
        <v>462</v>
      </c>
      <c r="I794" s="2" t="s">
        <v>463</v>
      </c>
      <c r="J794" s="2">
        <v>102753</v>
      </c>
      <c r="K794" s="2" t="s">
        <v>464</v>
      </c>
      <c r="L794" s="2" t="s">
        <v>14</v>
      </c>
      <c r="M794" t="str">
        <f>K794 &amp; " " &amp; I794</f>
        <v>Faye Pierre-Emmanuel</v>
      </c>
      <c r="Q794" t="str">
        <f t="shared" si="69"/>
        <v>102753pefaye</v>
      </c>
    </row>
    <row r="795" spans="1:17" hidden="1" x14ac:dyDescent="0.4">
      <c r="A795">
        <v>948</v>
      </c>
      <c r="B795" s="2"/>
      <c r="C795" s="4">
        <v>45908</v>
      </c>
      <c r="D795" s="5">
        <v>0.66666666666666663</v>
      </c>
      <c r="E795" s="5">
        <v>0.72916666666666663</v>
      </c>
      <c r="F795" s="2" t="s">
        <v>9</v>
      </c>
      <c r="G795" s="2" t="s">
        <v>10</v>
      </c>
      <c r="H795" s="2" t="s">
        <v>303</v>
      </c>
      <c r="I795" s="2" t="s">
        <v>304</v>
      </c>
      <c r="J795" s="2">
        <v>104855</v>
      </c>
      <c r="K795" s="2" t="s">
        <v>305</v>
      </c>
      <c r="L795" s="2" t="s">
        <v>18</v>
      </c>
      <c r="M795" t="str">
        <f>I795 &amp; " " &amp; K795</f>
        <v>Killyan Najera Houbiers</v>
      </c>
      <c r="Q795" t="str">
        <f t="shared" si="69"/>
        <v>104855knajerahoubiers</v>
      </c>
    </row>
    <row r="796" spans="1:17" hidden="1" x14ac:dyDescent="0.4">
      <c r="A796">
        <v>950</v>
      </c>
      <c r="B796" s="2"/>
      <c r="C796" s="4">
        <v>45908</v>
      </c>
      <c r="D796" s="5">
        <v>0.58333333333333337</v>
      </c>
      <c r="E796" s="5">
        <v>0.64583333333333337</v>
      </c>
      <c r="F796" s="2" t="s">
        <v>9</v>
      </c>
      <c r="G796" s="2" t="s">
        <v>10</v>
      </c>
      <c r="H796" s="2" t="s">
        <v>303</v>
      </c>
      <c r="I796" s="2" t="s">
        <v>304</v>
      </c>
      <c r="J796" s="2">
        <v>104551</v>
      </c>
      <c r="K796" s="2" t="s">
        <v>305</v>
      </c>
      <c r="L796" s="2" t="s">
        <v>18</v>
      </c>
      <c r="M796" t="str">
        <f>I796 &amp; " " &amp; K796</f>
        <v>Killyan Najera Houbiers</v>
      </c>
      <c r="Q796" t="str">
        <f t="shared" si="69"/>
        <v>104551knajerahoubiers</v>
      </c>
    </row>
    <row r="797" spans="1:17" hidden="1" x14ac:dyDescent="0.4">
      <c r="A797">
        <v>951</v>
      </c>
      <c r="B797" s="2"/>
      <c r="C797" s="4">
        <v>45908</v>
      </c>
      <c r="D797" s="5">
        <v>0.47916666666666669</v>
      </c>
      <c r="E797" s="5">
        <v>0.54166666666666663</v>
      </c>
      <c r="F797" s="2" t="s">
        <v>9</v>
      </c>
      <c r="G797" s="2" t="s">
        <v>10</v>
      </c>
      <c r="H797" s="2" t="s">
        <v>303</v>
      </c>
      <c r="I797" s="2" t="s">
        <v>304</v>
      </c>
      <c r="J797" s="2">
        <v>104550</v>
      </c>
      <c r="K797" s="2" t="s">
        <v>305</v>
      </c>
      <c r="L797" s="2" t="s">
        <v>18</v>
      </c>
      <c r="M797" t="str">
        <f>I797 &amp; " " &amp; K797</f>
        <v>Killyan Najera Houbiers</v>
      </c>
      <c r="Q797" t="str">
        <f t="shared" si="69"/>
        <v>104550knajerahoubiers</v>
      </c>
    </row>
    <row r="798" spans="1:17" hidden="1" x14ac:dyDescent="0.4">
      <c r="A798">
        <v>952</v>
      </c>
      <c r="B798" s="2"/>
      <c r="C798" s="4">
        <v>45908</v>
      </c>
      <c r="D798" s="5">
        <v>0.375</v>
      </c>
      <c r="E798" s="5">
        <v>0.4375</v>
      </c>
      <c r="F798" s="2" t="s">
        <v>9</v>
      </c>
      <c r="G798" s="2" t="s">
        <v>10</v>
      </c>
      <c r="H798" s="2" t="s">
        <v>303</v>
      </c>
      <c r="I798" s="2" t="s">
        <v>304</v>
      </c>
      <c r="J798" s="2">
        <v>102916</v>
      </c>
      <c r="K798" s="2" t="s">
        <v>305</v>
      </c>
      <c r="L798" s="2" t="s">
        <v>18</v>
      </c>
      <c r="M798" t="str">
        <f>I798 &amp; " " &amp; K798</f>
        <v>Killyan Najera Houbiers</v>
      </c>
      <c r="Q798" t="str">
        <f t="shared" si="69"/>
        <v>102916knajerahoubiers</v>
      </c>
    </row>
    <row r="799" spans="1:17" hidden="1" x14ac:dyDescent="0.4">
      <c r="A799">
        <v>953</v>
      </c>
      <c r="B799" s="2"/>
      <c r="C799" s="4">
        <v>45909</v>
      </c>
      <c r="D799" s="5">
        <v>0.5</v>
      </c>
      <c r="E799" s="5">
        <v>0.54166666666666663</v>
      </c>
      <c r="F799" s="2" t="s">
        <v>9</v>
      </c>
      <c r="G799" s="2" t="s">
        <v>10</v>
      </c>
      <c r="H799" s="2" t="s">
        <v>281</v>
      </c>
      <c r="I799" s="2" t="s">
        <v>282</v>
      </c>
      <c r="J799" s="2">
        <v>102753</v>
      </c>
      <c r="K799" s="2" t="s">
        <v>283</v>
      </c>
      <c r="L799" s="2" t="s">
        <v>14</v>
      </c>
      <c r="M799" t="str">
        <f>K799 &amp; " " &amp; I799</f>
        <v>Ferrer Moreno Jaume</v>
      </c>
      <c r="Q799" t="str">
        <f t="shared" si="69"/>
        <v>102753jferrer</v>
      </c>
    </row>
    <row r="800" spans="1:17" hidden="1" x14ac:dyDescent="0.4">
      <c r="A800">
        <v>954</v>
      </c>
      <c r="B800" s="2"/>
      <c r="C800" s="4">
        <v>45909</v>
      </c>
      <c r="D800" s="5">
        <v>0.5</v>
      </c>
      <c r="E800" s="5">
        <v>0.54166666666666663</v>
      </c>
      <c r="F800" s="2" t="s">
        <v>9</v>
      </c>
      <c r="G800" s="2" t="s">
        <v>10</v>
      </c>
      <c r="H800" s="2" t="s">
        <v>215</v>
      </c>
      <c r="I800" s="2" t="s">
        <v>210</v>
      </c>
      <c r="J800" s="2">
        <v>102753</v>
      </c>
      <c r="K800" s="2" t="s">
        <v>216</v>
      </c>
      <c r="L800" s="2" t="s">
        <v>18</v>
      </c>
      <c r="M800" t="str">
        <f>I800 &amp; " " &amp; K800</f>
        <v>Garance Gabel</v>
      </c>
      <c r="Q800" t="str">
        <f t="shared" si="69"/>
        <v>102753ggabel</v>
      </c>
    </row>
    <row r="801" spans="1:17" hidden="1" x14ac:dyDescent="0.4">
      <c r="A801">
        <v>955</v>
      </c>
      <c r="B801" s="2"/>
      <c r="C801" s="4">
        <v>45908</v>
      </c>
      <c r="D801" s="5">
        <v>0.66666666666666663</v>
      </c>
      <c r="E801" s="5">
        <v>0.72916666666666663</v>
      </c>
      <c r="F801" s="2" t="s">
        <v>9</v>
      </c>
      <c r="G801" s="2" t="s">
        <v>10</v>
      </c>
      <c r="H801" s="2" t="s">
        <v>93</v>
      </c>
      <c r="I801" s="2" t="s">
        <v>94</v>
      </c>
      <c r="J801" s="2">
        <v>104855</v>
      </c>
      <c r="K801" s="2" t="s">
        <v>95</v>
      </c>
      <c r="L801" s="2" t="s">
        <v>14</v>
      </c>
      <c r="M801" t="str">
        <f>K801 &amp; " " &amp; I801</f>
        <v>Naji Bilal</v>
      </c>
      <c r="Q801" t="str">
        <f t="shared" si="69"/>
        <v>104855bnaji</v>
      </c>
    </row>
    <row r="802" spans="1:17" hidden="1" x14ac:dyDescent="0.4">
      <c r="A802">
        <v>957</v>
      </c>
      <c r="B802" s="2"/>
      <c r="C802" s="4">
        <v>45908</v>
      </c>
      <c r="D802" s="5">
        <v>0.58333333333333337</v>
      </c>
      <c r="E802" s="5">
        <v>0.64583333333333337</v>
      </c>
      <c r="F802" s="2" t="s">
        <v>9</v>
      </c>
      <c r="G802" s="2" t="s">
        <v>10</v>
      </c>
      <c r="H802" s="2" t="s">
        <v>93</v>
      </c>
      <c r="I802" s="2" t="s">
        <v>94</v>
      </c>
      <c r="J802" s="2">
        <v>104551</v>
      </c>
      <c r="K802" s="2" t="s">
        <v>95</v>
      </c>
      <c r="L802" s="2" t="s">
        <v>14</v>
      </c>
      <c r="M802" t="str">
        <f>K802 &amp; " " &amp; I802</f>
        <v>Naji Bilal</v>
      </c>
      <c r="Q802" t="str">
        <f t="shared" si="69"/>
        <v>104551bnaji</v>
      </c>
    </row>
    <row r="803" spans="1:17" hidden="1" x14ac:dyDescent="0.4">
      <c r="A803">
        <v>958</v>
      </c>
      <c r="B803" s="2"/>
      <c r="C803" s="4">
        <v>45908</v>
      </c>
      <c r="D803" s="5">
        <v>0.47916666666666669</v>
      </c>
      <c r="E803" s="5">
        <v>0.54166666666666663</v>
      </c>
      <c r="F803" s="2" t="s">
        <v>9</v>
      </c>
      <c r="G803" s="2" t="s">
        <v>10</v>
      </c>
      <c r="H803" s="2" t="s">
        <v>93</v>
      </c>
      <c r="I803" s="2" t="s">
        <v>94</v>
      </c>
      <c r="J803" s="2">
        <v>104550</v>
      </c>
      <c r="K803" s="2" t="s">
        <v>95</v>
      </c>
      <c r="L803" s="2" t="s">
        <v>14</v>
      </c>
      <c r="M803" t="str">
        <f>K803 &amp; " " &amp; I803</f>
        <v>Naji Bilal</v>
      </c>
      <c r="Q803" t="str">
        <f t="shared" si="69"/>
        <v>104550bnaji</v>
      </c>
    </row>
    <row r="804" spans="1:17" hidden="1" x14ac:dyDescent="0.4">
      <c r="A804">
        <v>959</v>
      </c>
      <c r="B804" s="2"/>
      <c r="C804" s="4">
        <v>45908</v>
      </c>
      <c r="D804" s="5">
        <v>0.375</v>
      </c>
      <c r="E804" s="5">
        <v>0.4375</v>
      </c>
      <c r="F804" s="2" t="s">
        <v>9</v>
      </c>
      <c r="G804" s="2" t="s">
        <v>10</v>
      </c>
      <c r="H804" s="2" t="s">
        <v>93</v>
      </c>
      <c r="I804" s="2" t="s">
        <v>94</v>
      </c>
      <c r="J804" s="2">
        <v>102916</v>
      </c>
      <c r="K804" s="2" t="s">
        <v>95</v>
      </c>
      <c r="L804" s="2" t="s">
        <v>14</v>
      </c>
      <c r="M804" t="str">
        <f>K804 &amp; " " &amp; I804</f>
        <v>Naji Bilal</v>
      </c>
      <c r="Q804" t="str">
        <f t="shared" si="69"/>
        <v>102916bnaji</v>
      </c>
    </row>
    <row r="805" spans="1:17" hidden="1" x14ac:dyDescent="0.4">
      <c r="A805">
        <v>960</v>
      </c>
      <c r="B805" s="2"/>
      <c r="C805" s="4">
        <v>45909</v>
      </c>
      <c r="D805" s="5">
        <v>0.5</v>
      </c>
      <c r="E805" s="5">
        <v>0.54166666666666663</v>
      </c>
      <c r="F805" s="2" t="s">
        <v>9</v>
      </c>
      <c r="G805" s="2" t="s">
        <v>10</v>
      </c>
      <c r="H805" s="2" t="s">
        <v>588</v>
      </c>
      <c r="I805" s="2" t="s">
        <v>578</v>
      </c>
      <c r="J805" s="2">
        <v>102753</v>
      </c>
      <c r="K805" s="2" t="s">
        <v>589</v>
      </c>
      <c r="L805" s="2" t="s">
        <v>18</v>
      </c>
      <c r="M805" t="str">
        <f>I805 &amp; " " &amp; K805</f>
        <v>Victor Gadin</v>
      </c>
      <c r="Q805" t="str">
        <f t="shared" si="69"/>
        <v>102753vgadin</v>
      </c>
    </row>
    <row r="806" spans="1:17" hidden="1" x14ac:dyDescent="0.4">
      <c r="A806">
        <v>961</v>
      </c>
      <c r="B806" s="2"/>
      <c r="C806" s="4">
        <v>45909</v>
      </c>
      <c r="D806" s="5">
        <v>0.5</v>
      </c>
      <c r="E806" s="5">
        <v>0.54166666666666663</v>
      </c>
      <c r="F806" s="2" t="s">
        <v>9</v>
      </c>
      <c r="G806" s="2" t="s">
        <v>10</v>
      </c>
      <c r="H806" s="2" t="s">
        <v>62</v>
      </c>
      <c r="I806" s="2" t="s">
        <v>63</v>
      </c>
      <c r="J806" s="2">
        <v>102753</v>
      </c>
      <c r="K806" s="2" t="s">
        <v>64</v>
      </c>
      <c r="L806" s="2" t="s">
        <v>18</v>
      </c>
      <c r="M806" t="str">
        <f>I806 &amp; " " &amp; K806</f>
        <v>Adèle, Lili, Violette Galichet</v>
      </c>
      <c r="Q806" t="str">
        <f t="shared" si="69"/>
        <v>102753alvgalichet</v>
      </c>
    </row>
    <row r="807" spans="1:17" hidden="1" x14ac:dyDescent="0.4">
      <c r="A807">
        <v>962</v>
      </c>
      <c r="B807" s="2"/>
      <c r="C807" s="4">
        <v>45908</v>
      </c>
      <c r="D807" s="5">
        <v>0.66666666666666663</v>
      </c>
      <c r="E807" s="5">
        <v>0.72916666666666663</v>
      </c>
      <c r="F807" s="2" t="s">
        <v>9</v>
      </c>
      <c r="G807" s="2" t="s">
        <v>10</v>
      </c>
      <c r="H807" s="2" t="s">
        <v>383</v>
      </c>
      <c r="I807" s="2" t="s">
        <v>384</v>
      </c>
      <c r="J807" s="2">
        <v>104855</v>
      </c>
      <c r="K807" s="2" t="s">
        <v>385</v>
      </c>
      <c r="L807" s="2" t="s">
        <v>14</v>
      </c>
      <c r="M807" t="str">
        <f t="shared" ref="M807:M812" si="72">K807 &amp; " " &amp; I807</f>
        <v>Nakahira Meiko</v>
      </c>
      <c r="Q807" t="str">
        <f t="shared" ref="Q807:Q859" si="73">J807&amp;H807</f>
        <v>104855mnakahira1</v>
      </c>
    </row>
    <row r="808" spans="1:17" hidden="1" x14ac:dyDescent="0.4">
      <c r="A808">
        <v>964</v>
      </c>
      <c r="B808" s="2"/>
      <c r="C808" s="4">
        <v>45908</v>
      </c>
      <c r="D808" s="5">
        <v>0.58333333333333337</v>
      </c>
      <c r="E808" s="5">
        <v>0.64583333333333337</v>
      </c>
      <c r="F808" s="2" t="s">
        <v>9</v>
      </c>
      <c r="G808" s="2" t="s">
        <v>10</v>
      </c>
      <c r="H808" s="2" t="s">
        <v>383</v>
      </c>
      <c r="I808" s="2" t="s">
        <v>384</v>
      </c>
      <c r="J808" s="2">
        <v>104551</v>
      </c>
      <c r="K808" s="2" t="s">
        <v>385</v>
      </c>
      <c r="L808" s="2" t="s">
        <v>14</v>
      </c>
      <c r="M808" t="str">
        <f t="shared" si="72"/>
        <v>Nakahira Meiko</v>
      </c>
      <c r="Q808" t="str">
        <f t="shared" si="73"/>
        <v>104551mnakahira1</v>
      </c>
    </row>
    <row r="809" spans="1:17" hidden="1" x14ac:dyDescent="0.4">
      <c r="A809">
        <v>965</v>
      </c>
      <c r="B809" s="2"/>
      <c r="C809" s="4">
        <v>45908</v>
      </c>
      <c r="D809" s="5">
        <v>0.47916666666666669</v>
      </c>
      <c r="E809" s="5">
        <v>0.54166666666666663</v>
      </c>
      <c r="F809" s="2" t="s">
        <v>9</v>
      </c>
      <c r="G809" s="2" t="s">
        <v>10</v>
      </c>
      <c r="H809" s="2" t="s">
        <v>383</v>
      </c>
      <c r="I809" s="2" t="s">
        <v>384</v>
      </c>
      <c r="J809" s="2">
        <v>104550</v>
      </c>
      <c r="K809" s="2" t="s">
        <v>385</v>
      </c>
      <c r="L809" s="2" t="s">
        <v>14</v>
      </c>
      <c r="M809" t="str">
        <f t="shared" si="72"/>
        <v>Nakahira Meiko</v>
      </c>
      <c r="Q809" t="str">
        <f t="shared" si="73"/>
        <v>104550mnakahira1</v>
      </c>
    </row>
    <row r="810" spans="1:17" hidden="1" x14ac:dyDescent="0.4">
      <c r="A810">
        <v>966</v>
      </c>
      <c r="B810" s="2"/>
      <c r="C810" s="4">
        <v>45908</v>
      </c>
      <c r="D810" s="5">
        <v>0.375</v>
      </c>
      <c r="E810" s="5">
        <v>0.4375</v>
      </c>
      <c r="F810" s="2" t="s">
        <v>9</v>
      </c>
      <c r="G810" s="2" t="s">
        <v>10</v>
      </c>
      <c r="H810" s="2" t="s">
        <v>383</v>
      </c>
      <c r="I810" s="2" t="s">
        <v>384</v>
      </c>
      <c r="J810" s="2">
        <v>102916</v>
      </c>
      <c r="K810" s="2" t="s">
        <v>385</v>
      </c>
      <c r="L810" s="2" t="s">
        <v>14</v>
      </c>
      <c r="M810" t="str">
        <f t="shared" si="72"/>
        <v>Nakahira Meiko</v>
      </c>
      <c r="Q810" t="str">
        <f t="shared" si="73"/>
        <v>102916mnakahira1</v>
      </c>
    </row>
    <row r="811" spans="1:17" hidden="1" x14ac:dyDescent="0.4">
      <c r="A811">
        <v>967</v>
      </c>
      <c r="B811" s="2"/>
      <c r="C811" s="4">
        <v>45909</v>
      </c>
      <c r="D811" s="5">
        <v>0.5</v>
      </c>
      <c r="E811" s="5">
        <v>0.54166666666666663</v>
      </c>
      <c r="F811" s="2" t="s">
        <v>9</v>
      </c>
      <c r="G811" s="2" t="s">
        <v>10</v>
      </c>
      <c r="H811" s="2" t="s">
        <v>488</v>
      </c>
      <c r="I811" s="2" t="s">
        <v>489</v>
      </c>
      <c r="J811" s="2">
        <v>102753</v>
      </c>
      <c r="K811" s="2" t="s">
        <v>490</v>
      </c>
      <c r="L811" s="2" t="s">
        <v>14</v>
      </c>
      <c r="M811" t="str">
        <f t="shared" si="72"/>
        <v>Gatti Rudy</v>
      </c>
      <c r="Q811" t="str">
        <f t="shared" si="73"/>
        <v>102753rgatti</v>
      </c>
    </row>
    <row r="812" spans="1:17" hidden="1" x14ac:dyDescent="0.4">
      <c r="A812">
        <v>968</v>
      </c>
      <c r="B812" s="2"/>
      <c r="C812" s="4">
        <v>45909</v>
      </c>
      <c r="D812" s="5">
        <v>0.5</v>
      </c>
      <c r="E812" s="5">
        <v>0.54166666666666663</v>
      </c>
      <c r="F812" s="2" t="s">
        <v>9</v>
      </c>
      <c r="G812" s="2" t="s">
        <v>10</v>
      </c>
      <c r="H812" s="2" t="s">
        <v>42</v>
      </c>
      <c r="I812" s="2" t="s">
        <v>43</v>
      </c>
      <c r="J812" s="2">
        <v>102753</v>
      </c>
      <c r="K812" s="2" t="s">
        <v>44</v>
      </c>
      <c r="L812" s="2" t="s">
        <v>14</v>
      </c>
      <c r="M812" t="str">
        <f t="shared" si="72"/>
        <v>Gautier Arthur</v>
      </c>
      <c r="Q812" t="str">
        <f t="shared" si="73"/>
        <v>102753agautier</v>
      </c>
    </row>
    <row r="813" spans="1:17" hidden="1" x14ac:dyDescent="0.4">
      <c r="A813">
        <v>969</v>
      </c>
      <c r="B813" s="2"/>
      <c r="C813" s="4">
        <v>45908</v>
      </c>
      <c r="D813" s="5">
        <v>0.66666666666666663</v>
      </c>
      <c r="E813" s="5">
        <v>0.72916666666666663</v>
      </c>
      <c r="F813" s="2" t="s">
        <v>9</v>
      </c>
      <c r="G813" s="2" t="s">
        <v>10</v>
      </c>
      <c r="H813" s="2" t="s">
        <v>74</v>
      </c>
      <c r="I813" s="2" t="s">
        <v>75</v>
      </c>
      <c r="J813" s="2">
        <v>104855</v>
      </c>
      <c r="K813" s="2" t="s">
        <v>76</v>
      </c>
      <c r="L813" s="2" t="s">
        <v>18</v>
      </c>
      <c r="M813" t="str">
        <f>I813 &amp; " " &amp; K813</f>
        <v>Abel Nantois</v>
      </c>
      <c r="Q813" t="str">
        <f t="shared" si="73"/>
        <v>104855anantois</v>
      </c>
    </row>
    <row r="814" spans="1:17" hidden="1" x14ac:dyDescent="0.4">
      <c r="A814">
        <v>971</v>
      </c>
      <c r="B814" s="2"/>
      <c r="C814" s="4">
        <v>45908</v>
      </c>
      <c r="D814" s="5">
        <v>0.58333333333333337</v>
      </c>
      <c r="E814" s="5">
        <v>0.64583333333333337</v>
      </c>
      <c r="F814" s="2" t="s">
        <v>9</v>
      </c>
      <c r="G814" s="2" t="s">
        <v>10</v>
      </c>
      <c r="H814" s="2" t="s">
        <v>74</v>
      </c>
      <c r="I814" s="2" t="s">
        <v>75</v>
      </c>
      <c r="J814" s="2">
        <v>104551</v>
      </c>
      <c r="K814" s="2" t="s">
        <v>76</v>
      </c>
      <c r="L814" s="2" t="s">
        <v>18</v>
      </c>
      <c r="M814" t="str">
        <f t="shared" ref="M814:M821" si="74">I814 &amp; " " &amp; K814</f>
        <v>Abel Nantois</v>
      </c>
      <c r="Q814" t="str">
        <f t="shared" si="73"/>
        <v>104551anantois</v>
      </c>
    </row>
    <row r="815" spans="1:17" hidden="1" x14ac:dyDescent="0.4">
      <c r="A815">
        <v>972</v>
      </c>
      <c r="B815" s="2"/>
      <c r="C815" s="4">
        <v>45908</v>
      </c>
      <c r="D815" s="5">
        <v>0.47916666666666669</v>
      </c>
      <c r="E815" s="5">
        <v>0.54166666666666663</v>
      </c>
      <c r="F815" s="2" t="s">
        <v>9</v>
      </c>
      <c r="G815" s="2" t="s">
        <v>10</v>
      </c>
      <c r="H815" s="2" t="s">
        <v>74</v>
      </c>
      <c r="I815" s="2" t="s">
        <v>75</v>
      </c>
      <c r="J815" s="2">
        <v>104550</v>
      </c>
      <c r="K815" s="2" t="s">
        <v>76</v>
      </c>
      <c r="L815" s="2" t="s">
        <v>18</v>
      </c>
      <c r="M815" t="str">
        <f t="shared" si="74"/>
        <v>Abel Nantois</v>
      </c>
      <c r="Q815" t="str">
        <f t="shared" si="73"/>
        <v>104550anantois</v>
      </c>
    </row>
    <row r="816" spans="1:17" hidden="1" x14ac:dyDescent="0.4">
      <c r="A816">
        <v>973</v>
      </c>
      <c r="B816" s="2"/>
      <c r="C816" s="4">
        <v>45908</v>
      </c>
      <c r="D816" s="5">
        <v>0.375</v>
      </c>
      <c r="E816" s="5">
        <v>0.4375</v>
      </c>
      <c r="F816" s="2" t="s">
        <v>9</v>
      </c>
      <c r="G816" s="2" t="s">
        <v>10</v>
      </c>
      <c r="H816" s="2" t="s">
        <v>74</v>
      </c>
      <c r="I816" s="2" t="s">
        <v>75</v>
      </c>
      <c r="J816" s="2">
        <v>102916</v>
      </c>
      <c r="K816" s="2" t="s">
        <v>76</v>
      </c>
      <c r="L816" s="2" t="s">
        <v>18</v>
      </c>
      <c r="M816" t="str">
        <f t="shared" si="74"/>
        <v>Abel Nantois</v>
      </c>
      <c r="Q816" t="str">
        <f t="shared" si="73"/>
        <v>102916anantois</v>
      </c>
    </row>
    <row r="817" spans="1:17" hidden="1" x14ac:dyDescent="0.4">
      <c r="A817">
        <v>974</v>
      </c>
      <c r="B817" s="2"/>
      <c r="C817" s="4">
        <v>45909</v>
      </c>
      <c r="D817" s="5">
        <v>0.5</v>
      </c>
      <c r="E817" s="5">
        <v>0.54166666666666663</v>
      </c>
      <c r="F817" s="2" t="s">
        <v>9</v>
      </c>
      <c r="G817" s="2" t="s">
        <v>10</v>
      </c>
      <c r="H817" s="2" t="s">
        <v>468</v>
      </c>
      <c r="I817" s="2" t="s">
        <v>469</v>
      </c>
      <c r="J817" s="2">
        <v>102753</v>
      </c>
      <c r="K817" s="2" t="s">
        <v>470</v>
      </c>
      <c r="L817" s="2" t="s">
        <v>18</v>
      </c>
      <c r="M817" t="str">
        <f t="shared" si="74"/>
        <v>Paul Germanaz</v>
      </c>
      <c r="Q817" t="str">
        <f t="shared" si="73"/>
        <v>102753pgermanaz</v>
      </c>
    </row>
    <row r="818" spans="1:17" hidden="1" x14ac:dyDescent="0.4">
      <c r="A818">
        <v>975</v>
      </c>
      <c r="B818" s="2"/>
      <c r="C818" s="4">
        <v>45909</v>
      </c>
      <c r="D818" s="5">
        <v>0.5</v>
      </c>
      <c r="E818" s="5">
        <v>0.54166666666666663</v>
      </c>
      <c r="F818" s="2" t="s">
        <v>9</v>
      </c>
      <c r="G818" s="2" t="s">
        <v>10</v>
      </c>
      <c r="H818" s="2" t="s">
        <v>607</v>
      </c>
      <c r="I818" s="2" t="s">
        <v>608</v>
      </c>
      <c r="J818" s="2">
        <v>102753</v>
      </c>
      <c r="K818" s="2" t="s">
        <v>609</v>
      </c>
      <c r="L818" s="2" t="s">
        <v>18</v>
      </c>
      <c r="M818" t="str">
        <f t="shared" si="74"/>
        <v>Zéphyr Gogris</v>
      </c>
      <c r="Q818" t="str">
        <f t="shared" si="73"/>
        <v>102753zgogris</v>
      </c>
    </row>
    <row r="819" spans="1:17" hidden="1" x14ac:dyDescent="0.4">
      <c r="A819">
        <v>976</v>
      </c>
      <c r="B819" s="2"/>
      <c r="C819" s="4">
        <v>45909</v>
      </c>
      <c r="D819" s="5">
        <v>0.5</v>
      </c>
      <c r="E819" s="5">
        <v>0.54166666666666663</v>
      </c>
      <c r="F819" s="2" t="s">
        <v>9</v>
      </c>
      <c r="G819" s="2" t="s">
        <v>10</v>
      </c>
      <c r="H819" s="2" t="s">
        <v>598</v>
      </c>
      <c r="I819" s="2" t="s">
        <v>599</v>
      </c>
      <c r="J819" s="2">
        <v>102753</v>
      </c>
      <c r="K819" s="2" t="s">
        <v>600</v>
      </c>
      <c r="L819" s="2" t="s">
        <v>18</v>
      </c>
      <c r="M819" t="str">
        <f t="shared" si="74"/>
        <v>Yuko Gomi</v>
      </c>
      <c r="Q819" t="str">
        <f t="shared" si="73"/>
        <v>102753ygomi</v>
      </c>
    </row>
    <row r="820" spans="1:17" hidden="1" x14ac:dyDescent="0.4">
      <c r="A820">
        <v>977</v>
      </c>
      <c r="B820" s="2"/>
      <c r="C820" s="4">
        <v>45908</v>
      </c>
      <c r="D820" s="5">
        <v>0.66666666666666663</v>
      </c>
      <c r="E820" s="5">
        <v>0.72916666666666663</v>
      </c>
      <c r="F820" s="2" t="s">
        <v>9</v>
      </c>
      <c r="G820" s="2" t="s">
        <v>10</v>
      </c>
      <c r="H820" s="2" t="s">
        <v>217</v>
      </c>
      <c r="I820" s="2" t="s">
        <v>218</v>
      </c>
      <c r="J820" s="2">
        <v>104855</v>
      </c>
      <c r="K820" s="2" t="s">
        <v>219</v>
      </c>
      <c r="L820" s="2" t="s">
        <v>18</v>
      </c>
      <c r="M820" t="str">
        <f t="shared" si="74"/>
        <v>Geoffrey Nguyen</v>
      </c>
      <c r="Q820" t="str">
        <f t="shared" si="73"/>
        <v>104855gnguyen</v>
      </c>
    </row>
    <row r="821" spans="1:17" hidden="1" x14ac:dyDescent="0.4">
      <c r="A821">
        <v>978</v>
      </c>
      <c r="B821" s="2"/>
      <c r="C821" s="4">
        <v>45908</v>
      </c>
      <c r="D821" s="5">
        <v>0.66666666666666663</v>
      </c>
      <c r="E821" s="5">
        <v>0.72916666666666663</v>
      </c>
      <c r="F821" s="2" t="s">
        <v>9</v>
      </c>
      <c r="G821" s="2" t="s">
        <v>10</v>
      </c>
      <c r="H821" s="2" t="s">
        <v>301</v>
      </c>
      <c r="I821" s="2" t="s">
        <v>302</v>
      </c>
      <c r="J821" s="2">
        <v>104855</v>
      </c>
      <c r="K821" s="2" t="s">
        <v>219</v>
      </c>
      <c r="L821" s="2" t="s">
        <v>18</v>
      </c>
      <c r="M821" t="str">
        <f t="shared" si="74"/>
        <v>Kim-Hac-Tram Nguyen</v>
      </c>
      <c r="Q821" t="str">
        <f t="shared" si="73"/>
        <v>104855khtnguyen</v>
      </c>
    </row>
    <row r="822" spans="1:17" hidden="1" x14ac:dyDescent="0.4">
      <c r="A822">
        <v>981</v>
      </c>
      <c r="B822" s="2"/>
      <c r="C822" s="4">
        <v>45908</v>
      </c>
      <c r="D822" s="5">
        <v>0.58333333333333337</v>
      </c>
      <c r="E822" s="5">
        <v>0.64583333333333337</v>
      </c>
      <c r="F822" s="2" t="s">
        <v>9</v>
      </c>
      <c r="G822" s="2" t="s">
        <v>10</v>
      </c>
      <c r="H822" s="2" t="s">
        <v>217</v>
      </c>
      <c r="I822" s="2" t="s">
        <v>218</v>
      </c>
      <c r="J822" s="2">
        <v>104551</v>
      </c>
      <c r="K822" s="2" t="s">
        <v>219</v>
      </c>
      <c r="L822" s="2" t="s">
        <v>18</v>
      </c>
      <c r="M822" t="str">
        <f>I822 &amp; " " &amp; K822</f>
        <v>Geoffrey Nguyen</v>
      </c>
      <c r="Q822" t="str">
        <f t="shared" si="73"/>
        <v>104551gnguyen</v>
      </c>
    </row>
    <row r="823" spans="1:17" hidden="1" x14ac:dyDescent="0.4">
      <c r="A823">
        <v>982</v>
      </c>
      <c r="B823" s="2"/>
      <c r="C823" s="4">
        <v>45908</v>
      </c>
      <c r="D823" s="5">
        <v>0.58333333333333337</v>
      </c>
      <c r="E823" s="5">
        <v>0.64583333333333337</v>
      </c>
      <c r="F823" s="2" t="s">
        <v>9</v>
      </c>
      <c r="G823" s="2" t="s">
        <v>10</v>
      </c>
      <c r="H823" s="2" t="s">
        <v>301</v>
      </c>
      <c r="I823" s="2" t="s">
        <v>302</v>
      </c>
      <c r="J823" s="2">
        <v>104551</v>
      </c>
      <c r="K823" s="2" t="s">
        <v>219</v>
      </c>
      <c r="L823" s="2" t="s">
        <v>18</v>
      </c>
      <c r="M823" t="str">
        <f>I823 &amp; " " &amp; K823</f>
        <v>Kim-Hac-Tram Nguyen</v>
      </c>
      <c r="Q823" t="str">
        <f t="shared" si="73"/>
        <v>104551khtnguyen</v>
      </c>
    </row>
    <row r="824" spans="1:17" hidden="1" x14ac:dyDescent="0.4">
      <c r="A824">
        <v>983</v>
      </c>
      <c r="B824" s="2"/>
      <c r="C824" s="4">
        <v>45908</v>
      </c>
      <c r="D824" s="5">
        <v>0.47916666666666669</v>
      </c>
      <c r="E824" s="5">
        <v>0.54166666666666663</v>
      </c>
      <c r="F824" s="2" t="s">
        <v>9</v>
      </c>
      <c r="G824" s="2" t="s">
        <v>10</v>
      </c>
      <c r="H824" s="2" t="s">
        <v>217</v>
      </c>
      <c r="I824" s="2" t="s">
        <v>218</v>
      </c>
      <c r="J824" s="2">
        <v>104550</v>
      </c>
      <c r="K824" s="2" t="s">
        <v>219</v>
      </c>
      <c r="L824" s="2" t="s">
        <v>18</v>
      </c>
      <c r="M824" t="str">
        <f>I824 &amp; " " &amp; K824</f>
        <v>Geoffrey Nguyen</v>
      </c>
      <c r="Q824" t="str">
        <f t="shared" si="73"/>
        <v>104550gnguyen</v>
      </c>
    </row>
    <row r="825" spans="1:17" hidden="1" x14ac:dyDescent="0.4">
      <c r="A825">
        <v>984</v>
      </c>
      <c r="B825" s="2"/>
      <c r="C825" s="4">
        <v>45908</v>
      </c>
      <c r="D825" s="5">
        <v>0.47916666666666669</v>
      </c>
      <c r="E825" s="5">
        <v>0.54166666666666663</v>
      </c>
      <c r="F825" s="2" t="s">
        <v>9</v>
      </c>
      <c r="G825" s="2" t="s">
        <v>10</v>
      </c>
      <c r="H825" s="2" t="s">
        <v>301</v>
      </c>
      <c r="I825" s="2" t="s">
        <v>302</v>
      </c>
      <c r="J825" s="2">
        <v>104550</v>
      </c>
      <c r="K825" s="2" t="s">
        <v>219</v>
      </c>
      <c r="L825" s="2" t="s">
        <v>18</v>
      </c>
      <c r="M825" t="str">
        <f>I825 &amp; " " &amp; K825</f>
        <v>Kim-Hac-Tram Nguyen</v>
      </c>
      <c r="Q825" t="str">
        <f t="shared" si="73"/>
        <v>104550khtnguyen</v>
      </c>
    </row>
    <row r="826" spans="1:17" hidden="1" x14ac:dyDescent="0.4">
      <c r="A826">
        <v>985</v>
      </c>
      <c r="B826" s="2"/>
      <c r="C826" s="4">
        <v>45908</v>
      </c>
      <c r="D826" s="5">
        <v>0.375</v>
      </c>
      <c r="E826" s="5">
        <v>0.4375</v>
      </c>
      <c r="F826" s="2" t="s">
        <v>9</v>
      </c>
      <c r="G826" s="2" t="s">
        <v>10</v>
      </c>
      <c r="H826" s="2" t="s">
        <v>301</v>
      </c>
      <c r="I826" s="2" t="s">
        <v>302</v>
      </c>
      <c r="J826" s="2">
        <v>102916</v>
      </c>
      <c r="K826" s="2" t="s">
        <v>219</v>
      </c>
      <c r="L826" s="2" t="s">
        <v>18</v>
      </c>
      <c r="M826" t="str">
        <f>I826 &amp; " " &amp; K826</f>
        <v>Kim-Hac-Tram Nguyen</v>
      </c>
      <c r="Q826" t="str">
        <f t="shared" si="73"/>
        <v>102916khtnguyen</v>
      </c>
    </row>
    <row r="827" spans="1:17" hidden="1" x14ac:dyDescent="0.4">
      <c r="A827">
        <v>986</v>
      </c>
      <c r="B827" s="2"/>
      <c r="C827" s="4">
        <v>45908</v>
      </c>
      <c r="D827" s="5">
        <v>0.375</v>
      </c>
      <c r="E827" s="5">
        <v>0.4375</v>
      </c>
      <c r="F827" s="2" t="s">
        <v>9</v>
      </c>
      <c r="G827" s="2" t="s">
        <v>10</v>
      </c>
      <c r="H827" s="2" t="s">
        <v>217</v>
      </c>
      <c r="I827" s="2" t="s">
        <v>218</v>
      </c>
      <c r="J827" s="2">
        <v>102916</v>
      </c>
      <c r="K827" s="2" t="s">
        <v>219</v>
      </c>
      <c r="L827" s="2" t="s">
        <v>18</v>
      </c>
      <c r="M827" t="str">
        <f>K827 &amp; " " &amp; I827</f>
        <v>Nguyen Geoffrey</v>
      </c>
      <c r="Q827" t="str">
        <f t="shared" si="73"/>
        <v>102916gnguyen</v>
      </c>
    </row>
    <row r="828" spans="1:17" hidden="1" x14ac:dyDescent="0.4">
      <c r="A828">
        <v>987</v>
      </c>
      <c r="B828" s="2"/>
      <c r="C828" s="4">
        <v>45909</v>
      </c>
      <c r="D828" s="5">
        <v>0.5</v>
      </c>
      <c r="E828" s="5">
        <v>0.54166666666666663</v>
      </c>
      <c r="F828" s="2" t="s">
        <v>9</v>
      </c>
      <c r="G828" s="2" t="s">
        <v>10</v>
      </c>
      <c r="H828" s="2" t="s">
        <v>456</v>
      </c>
      <c r="I828" s="2" t="s">
        <v>457</v>
      </c>
      <c r="J828" s="2">
        <v>102753</v>
      </c>
      <c r="K828" s="2" t="s">
        <v>458</v>
      </c>
      <c r="L828" s="2" t="s">
        <v>18</v>
      </c>
      <c r="M828" t="str">
        <f>I828 &amp; " " &amp; K828</f>
        <v>Odile González Babiaud</v>
      </c>
      <c r="Q828" t="str">
        <f t="shared" si="73"/>
        <v>102753ogonzalezbabiaud</v>
      </c>
    </row>
    <row r="829" spans="1:17" hidden="1" x14ac:dyDescent="0.4">
      <c r="A829">
        <v>988</v>
      </c>
      <c r="B829" s="2"/>
      <c r="C829" s="4">
        <v>45909</v>
      </c>
      <c r="D829" s="5">
        <v>0.5</v>
      </c>
      <c r="E829" s="5">
        <v>0.54166666666666663</v>
      </c>
      <c r="F829" s="2" t="s">
        <v>9</v>
      </c>
      <c r="G829" s="2" t="s">
        <v>10</v>
      </c>
      <c r="H829" s="2" t="s">
        <v>154</v>
      </c>
      <c r="I829" s="2" t="s">
        <v>155</v>
      </c>
      <c r="J829" s="2">
        <v>102753</v>
      </c>
      <c r="K829" s="2" t="s">
        <v>156</v>
      </c>
      <c r="L829" s="2" t="s">
        <v>14</v>
      </c>
      <c r="M829" t="str">
        <f>K829 &amp; " " &amp; I829</f>
        <v>Grandcolas Eliane</v>
      </c>
      <c r="Q829" t="str">
        <f t="shared" si="73"/>
        <v>102753egrandcolas</v>
      </c>
    </row>
    <row r="830" spans="1:17" hidden="1" x14ac:dyDescent="0.4">
      <c r="A830">
        <v>989</v>
      </c>
      <c r="B830" s="2"/>
      <c r="C830" s="4">
        <v>45909</v>
      </c>
      <c r="D830" s="5">
        <v>0.5</v>
      </c>
      <c r="E830" s="5">
        <v>0.54166666666666663</v>
      </c>
      <c r="F830" s="2" t="s">
        <v>9</v>
      </c>
      <c r="G830" s="2" t="s">
        <v>10</v>
      </c>
      <c r="H830" s="2" t="s">
        <v>491</v>
      </c>
      <c r="I830" s="2" t="s">
        <v>483</v>
      </c>
      <c r="J830" s="2">
        <v>102753</v>
      </c>
      <c r="K830" s="2" t="s">
        <v>492</v>
      </c>
      <c r="L830" s="2" t="s">
        <v>18</v>
      </c>
      <c r="M830" t="str">
        <f>I830 &amp; " " &amp; K830</f>
        <v>Raphaël Grevin</v>
      </c>
      <c r="Q830" t="str">
        <f t="shared" si="73"/>
        <v>102753rgrevin</v>
      </c>
    </row>
    <row r="831" spans="1:17" hidden="1" x14ac:dyDescent="0.4">
      <c r="A831">
        <v>990</v>
      </c>
      <c r="B831" s="2"/>
      <c r="C831" s="4">
        <v>45908</v>
      </c>
      <c r="D831" s="5">
        <v>0.66666666666666663</v>
      </c>
      <c r="E831" s="5">
        <v>0.72916666666666663</v>
      </c>
      <c r="F831" s="2" t="s">
        <v>9</v>
      </c>
      <c r="G831" s="2" t="s">
        <v>10</v>
      </c>
      <c r="H831" s="2" t="s">
        <v>505</v>
      </c>
      <c r="I831" s="2" t="s">
        <v>506</v>
      </c>
      <c r="J831" s="2">
        <v>104855</v>
      </c>
      <c r="K831" s="2" t="s">
        <v>507</v>
      </c>
      <c r="L831" s="2" t="s">
        <v>14</v>
      </c>
      <c r="M831" t="str">
        <f>K831 &amp; " " &amp; I831</f>
        <v>Normand-Condat Rébecca</v>
      </c>
      <c r="Q831" t="str">
        <f t="shared" si="73"/>
        <v>104855rnormand-condat</v>
      </c>
    </row>
    <row r="832" spans="1:17" hidden="1" x14ac:dyDescent="0.4">
      <c r="A832">
        <v>992</v>
      </c>
      <c r="B832" s="2"/>
      <c r="C832" s="4">
        <v>45908</v>
      </c>
      <c r="D832" s="5">
        <v>0.58333333333333337</v>
      </c>
      <c r="E832" s="5">
        <v>0.64583333333333337</v>
      </c>
      <c r="F832" s="2" t="s">
        <v>9</v>
      </c>
      <c r="G832" s="2" t="s">
        <v>10</v>
      </c>
      <c r="H832" s="2" t="s">
        <v>505</v>
      </c>
      <c r="I832" s="2" t="s">
        <v>506</v>
      </c>
      <c r="J832" s="2">
        <v>104551</v>
      </c>
      <c r="K832" s="2" t="s">
        <v>507</v>
      </c>
      <c r="L832" s="2" t="s">
        <v>14</v>
      </c>
      <c r="M832" t="str">
        <f>K832 &amp; " " &amp; I832</f>
        <v>Normand-Condat Rébecca</v>
      </c>
      <c r="Q832" t="str">
        <f t="shared" si="73"/>
        <v>104551rnormand-condat</v>
      </c>
    </row>
    <row r="833" spans="1:17" hidden="1" x14ac:dyDescent="0.4">
      <c r="A833">
        <v>993</v>
      </c>
      <c r="B833" s="2"/>
      <c r="C833" s="4">
        <v>45908</v>
      </c>
      <c r="D833" s="5">
        <v>0.47916666666666669</v>
      </c>
      <c r="E833" s="5">
        <v>0.54166666666666663</v>
      </c>
      <c r="F833" s="2" t="s">
        <v>9</v>
      </c>
      <c r="G833" s="2" t="s">
        <v>10</v>
      </c>
      <c r="H833" s="2" t="s">
        <v>505</v>
      </c>
      <c r="I833" s="2" t="s">
        <v>506</v>
      </c>
      <c r="J833" s="2">
        <v>104550</v>
      </c>
      <c r="K833" s="2" t="s">
        <v>507</v>
      </c>
      <c r="L833" s="2" t="s">
        <v>14</v>
      </c>
      <c r="M833" t="str">
        <f>K833 &amp; " " &amp; I833</f>
        <v>Normand-Condat Rébecca</v>
      </c>
      <c r="Q833" t="str">
        <f t="shared" si="73"/>
        <v>104550rnormand-condat</v>
      </c>
    </row>
    <row r="834" spans="1:17" hidden="1" x14ac:dyDescent="0.4">
      <c r="A834">
        <v>994</v>
      </c>
      <c r="B834" s="2"/>
      <c r="C834" s="4">
        <v>45908</v>
      </c>
      <c r="D834" s="5">
        <v>0.375</v>
      </c>
      <c r="E834" s="5">
        <v>0.4375</v>
      </c>
      <c r="F834" s="2" t="s">
        <v>9</v>
      </c>
      <c r="G834" s="2" t="s">
        <v>10</v>
      </c>
      <c r="H834" s="2" t="s">
        <v>505</v>
      </c>
      <c r="I834" s="2" t="s">
        <v>506</v>
      </c>
      <c r="J834" s="2">
        <v>102916</v>
      </c>
      <c r="K834" s="2" t="s">
        <v>507</v>
      </c>
      <c r="L834" s="2" t="s">
        <v>14</v>
      </c>
      <c r="M834" t="str">
        <f>K834 &amp; " " &amp; I834</f>
        <v>Normand-Condat Rébecca</v>
      </c>
      <c r="Q834" t="str">
        <f t="shared" si="73"/>
        <v>102916rnormand-condat</v>
      </c>
    </row>
    <row r="835" spans="1:17" hidden="1" x14ac:dyDescent="0.4">
      <c r="A835">
        <v>995</v>
      </c>
      <c r="B835" s="2"/>
      <c r="C835" s="4">
        <v>45909</v>
      </c>
      <c r="D835" s="5">
        <v>0.5</v>
      </c>
      <c r="E835" s="5">
        <v>0.54166666666666663</v>
      </c>
      <c r="F835" s="2" t="s">
        <v>9</v>
      </c>
      <c r="G835" s="2" t="s">
        <v>10</v>
      </c>
      <c r="H835" s="2" t="s">
        <v>345</v>
      </c>
      <c r="I835" s="2" t="s">
        <v>346</v>
      </c>
      <c r="J835" s="2">
        <v>102753</v>
      </c>
      <c r="K835" s="2" t="s">
        <v>347</v>
      </c>
      <c r="L835" s="2" t="s">
        <v>18</v>
      </c>
      <c r="M835" t="str">
        <f>I835 &amp; " " &amp; K835</f>
        <v>Loris Valentino Grillo</v>
      </c>
      <c r="Q835" t="str">
        <f t="shared" si="73"/>
        <v>102753lvgrillo</v>
      </c>
    </row>
    <row r="836" spans="1:17" hidden="1" x14ac:dyDescent="0.4">
      <c r="A836">
        <v>996</v>
      </c>
      <c r="B836" s="2"/>
      <c r="C836" s="4">
        <v>45909</v>
      </c>
      <c r="D836" s="5">
        <v>0.5</v>
      </c>
      <c r="E836" s="5">
        <v>0.54166666666666663</v>
      </c>
      <c r="F836" s="2" t="s">
        <v>9</v>
      </c>
      <c r="G836" s="2" t="s">
        <v>10</v>
      </c>
      <c r="H836" s="2" t="s">
        <v>45</v>
      </c>
      <c r="I836" s="2" t="s">
        <v>46</v>
      </c>
      <c r="J836" s="2">
        <v>102753</v>
      </c>
      <c r="K836" s="2" t="s">
        <v>47</v>
      </c>
      <c r="L836" s="2" t="s">
        <v>14</v>
      </c>
      <c r="M836" t="str">
        <f t="shared" ref="M836:M840" si="75">K836 &amp; " " &amp; I836</f>
        <v>Grizard Alexis</v>
      </c>
      <c r="Q836" t="str">
        <f t="shared" si="73"/>
        <v>102753agrizard</v>
      </c>
    </row>
    <row r="837" spans="1:17" hidden="1" x14ac:dyDescent="0.4">
      <c r="A837">
        <v>997</v>
      </c>
      <c r="B837" s="2"/>
      <c r="C837" s="4">
        <v>45908</v>
      </c>
      <c r="D837" s="5">
        <v>0.66666666666666663</v>
      </c>
      <c r="E837" s="5">
        <v>0.72916666666666663</v>
      </c>
      <c r="F837" s="2" t="s">
        <v>9</v>
      </c>
      <c r="G837" s="2" t="s">
        <v>10</v>
      </c>
      <c r="H837" s="2" t="s">
        <v>441</v>
      </c>
      <c r="I837" s="2" t="s">
        <v>442</v>
      </c>
      <c r="J837" s="2">
        <v>104855</v>
      </c>
      <c r="K837" s="2" t="s">
        <v>443</v>
      </c>
      <c r="L837" s="2" t="s">
        <v>14</v>
      </c>
      <c r="M837" t="str">
        <f t="shared" si="75"/>
        <v>Noufel Nathan</v>
      </c>
      <c r="Q837" t="str">
        <f t="shared" si="73"/>
        <v>104855nnoufel</v>
      </c>
    </row>
    <row r="838" spans="1:17" hidden="1" x14ac:dyDescent="0.4">
      <c r="A838">
        <v>999</v>
      </c>
      <c r="B838" s="2"/>
      <c r="C838" s="4">
        <v>45908</v>
      </c>
      <c r="D838" s="5">
        <v>0.58333333333333337</v>
      </c>
      <c r="E838" s="5">
        <v>0.64583333333333337</v>
      </c>
      <c r="F838" s="2" t="s">
        <v>9</v>
      </c>
      <c r="G838" s="2" t="s">
        <v>10</v>
      </c>
      <c r="H838" s="2" t="s">
        <v>441</v>
      </c>
      <c r="I838" s="2" t="s">
        <v>442</v>
      </c>
      <c r="J838" s="2">
        <v>104551</v>
      </c>
      <c r="K838" s="2" t="s">
        <v>443</v>
      </c>
      <c r="L838" s="2" t="s">
        <v>14</v>
      </c>
      <c r="M838" t="str">
        <f t="shared" si="75"/>
        <v>Noufel Nathan</v>
      </c>
      <c r="Q838" t="str">
        <f t="shared" si="73"/>
        <v>104551nnoufel</v>
      </c>
    </row>
    <row r="839" spans="1:17" hidden="1" x14ac:dyDescent="0.4">
      <c r="A839">
        <v>1000</v>
      </c>
      <c r="B839" s="2"/>
      <c r="C839" s="4">
        <v>45908</v>
      </c>
      <c r="D839" s="5">
        <v>0.47916666666666669</v>
      </c>
      <c r="E839" s="5">
        <v>0.54166666666666663</v>
      </c>
      <c r="F839" s="2" t="s">
        <v>9</v>
      </c>
      <c r="G839" s="2" t="s">
        <v>10</v>
      </c>
      <c r="H839" s="2" t="s">
        <v>441</v>
      </c>
      <c r="I839" s="2" t="s">
        <v>442</v>
      </c>
      <c r="J839" s="2">
        <v>104550</v>
      </c>
      <c r="K839" s="2" t="s">
        <v>443</v>
      </c>
      <c r="L839" s="2" t="s">
        <v>14</v>
      </c>
      <c r="M839" t="str">
        <f t="shared" si="75"/>
        <v>Noufel Nathan</v>
      </c>
      <c r="Q839" t="str">
        <f t="shared" si="73"/>
        <v>104550nnoufel</v>
      </c>
    </row>
    <row r="840" spans="1:17" hidden="1" x14ac:dyDescent="0.4">
      <c r="A840">
        <v>1001</v>
      </c>
      <c r="B840" s="2"/>
      <c r="C840" s="4">
        <v>45908</v>
      </c>
      <c r="D840" s="5">
        <v>0.375</v>
      </c>
      <c r="E840" s="5">
        <v>0.4375</v>
      </c>
      <c r="F840" s="2" t="s">
        <v>9</v>
      </c>
      <c r="G840" s="2" t="s">
        <v>10</v>
      </c>
      <c r="H840" s="2" t="s">
        <v>441</v>
      </c>
      <c r="I840" s="2" t="s">
        <v>442</v>
      </c>
      <c r="J840" s="2">
        <v>102916</v>
      </c>
      <c r="K840" s="2" t="s">
        <v>443</v>
      </c>
      <c r="L840" s="2" t="s">
        <v>14</v>
      </c>
      <c r="M840" t="str">
        <f t="shared" si="75"/>
        <v>Noufel Nathan</v>
      </c>
      <c r="Q840" t="str">
        <f t="shared" si="73"/>
        <v>102916nnoufel</v>
      </c>
    </row>
    <row r="841" spans="1:17" hidden="1" x14ac:dyDescent="0.4">
      <c r="A841">
        <v>1002</v>
      </c>
      <c r="B841" s="2"/>
      <c r="C841" s="4">
        <v>45909</v>
      </c>
      <c r="D841" s="5">
        <v>0.5</v>
      </c>
      <c r="E841" s="5">
        <v>0.54166666666666663</v>
      </c>
      <c r="F841" s="2" t="s">
        <v>9</v>
      </c>
      <c r="G841" s="2" t="s">
        <v>10</v>
      </c>
      <c r="H841" s="2" t="s">
        <v>48</v>
      </c>
      <c r="I841" s="2" t="s">
        <v>49</v>
      </c>
      <c r="J841" s="2">
        <v>102753</v>
      </c>
      <c r="K841" s="2" t="s">
        <v>50</v>
      </c>
      <c r="L841" s="2" t="s">
        <v>18</v>
      </c>
      <c r="M841" t="str">
        <f>I841 &amp; " " &amp; K841</f>
        <v>Ansel Gross</v>
      </c>
      <c r="Q841" t="str">
        <f t="shared" si="73"/>
        <v>102753agross1</v>
      </c>
    </row>
    <row r="842" spans="1:17" hidden="1" x14ac:dyDescent="0.4">
      <c r="A842">
        <v>1003</v>
      </c>
      <c r="B842" s="2"/>
      <c r="C842" s="4">
        <v>45909</v>
      </c>
      <c r="D842" s="5">
        <v>0.5</v>
      </c>
      <c r="E842" s="5">
        <v>0.54166666666666663</v>
      </c>
      <c r="F842" s="2" t="s">
        <v>9</v>
      </c>
      <c r="G842" s="2" t="s">
        <v>10</v>
      </c>
      <c r="H842" s="2" t="s">
        <v>560</v>
      </c>
      <c r="I842" s="2" t="s">
        <v>561</v>
      </c>
      <c r="J842" s="2">
        <v>102753</v>
      </c>
      <c r="K842" s="2" t="s">
        <v>562</v>
      </c>
      <c r="L842" s="2" t="s">
        <v>18</v>
      </c>
      <c r="M842" t="str">
        <f>I842 &amp; " " &amp; K842</f>
        <v>Thomas Guilbert Selb</v>
      </c>
      <c r="Q842" t="str">
        <f t="shared" si="73"/>
        <v>102753tguilbertselb</v>
      </c>
    </row>
    <row r="843" spans="1:17" hidden="1" x14ac:dyDescent="0.4">
      <c r="A843">
        <v>1004</v>
      </c>
      <c r="B843" s="2"/>
      <c r="C843" s="4">
        <v>45908</v>
      </c>
      <c r="D843" s="5">
        <v>0.66666666666666663</v>
      </c>
      <c r="E843" s="5">
        <v>0.72916666666666663</v>
      </c>
      <c r="F843" s="2" t="s">
        <v>9</v>
      </c>
      <c r="G843" s="2" t="s">
        <v>10</v>
      </c>
      <c r="H843" s="2" t="s">
        <v>77</v>
      </c>
      <c r="I843" s="2" t="s">
        <v>78</v>
      </c>
      <c r="J843" s="2">
        <v>104855</v>
      </c>
      <c r="K843" s="2" t="s">
        <v>79</v>
      </c>
      <c r="L843" s="2" t="s">
        <v>14</v>
      </c>
      <c r="M843" t="str">
        <f>K843 &amp; " " &amp; I843</f>
        <v>Olech Alexandre</v>
      </c>
      <c r="Q843" t="str">
        <f t="shared" si="73"/>
        <v>104855aolech</v>
      </c>
    </row>
    <row r="844" spans="1:17" hidden="1" x14ac:dyDescent="0.4">
      <c r="A844">
        <v>1006</v>
      </c>
      <c r="B844" s="2"/>
      <c r="C844" s="4">
        <v>45908</v>
      </c>
      <c r="D844" s="5">
        <v>0.58333333333333337</v>
      </c>
      <c r="E844" s="5">
        <v>0.64583333333333337</v>
      </c>
      <c r="F844" s="2" t="s">
        <v>9</v>
      </c>
      <c r="G844" s="2" t="s">
        <v>10</v>
      </c>
      <c r="H844" s="2" t="s">
        <v>77</v>
      </c>
      <c r="I844" s="2" t="s">
        <v>78</v>
      </c>
      <c r="J844" s="2">
        <v>104551</v>
      </c>
      <c r="K844" s="2" t="s">
        <v>79</v>
      </c>
      <c r="L844" s="2" t="s">
        <v>14</v>
      </c>
      <c r="M844" t="str">
        <f>K844 &amp; " " &amp; I844</f>
        <v>Olech Alexandre</v>
      </c>
      <c r="Q844" t="str">
        <f t="shared" si="73"/>
        <v>104551aolech</v>
      </c>
    </row>
    <row r="845" spans="1:17" hidden="1" x14ac:dyDescent="0.4">
      <c r="A845">
        <v>1007</v>
      </c>
      <c r="B845" s="2"/>
      <c r="C845" s="4">
        <v>45908</v>
      </c>
      <c r="D845" s="5">
        <v>0.47916666666666669</v>
      </c>
      <c r="E845" s="5">
        <v>0.54166666666666663</v>
      </c>
      <c r="F845" s="2" t="s">
        <v>9</v>
      </c>
      <c r="G845" s="2" t="s">
        <v>10</v>
      </c>
      <c r="H845" s="2" t="s">
        <v>77</v>
      </c>
      <c r="I845" s="2" t="s">
        <v>78</v>
      </c>
      <c r="J845" s="2">
        <v>104550</v>
      </c>
      <c r="K845" s="2" t="s">
        <v>79</v>
      </c>
      <c r="L845" s="2" t="s">
        <v>14</v>
      </c>
      <c r="M845" t="str">
        <f>K845 &amp; " " &amp; I845</f>
        <v>Olech Alexandre</v>
      </c>
      <c r="Q845" t="str">
        <f t="shared" si="73"/>
        <v>104550aolech</v>
      </c>
    </row>
    <row r="846" spans="1:17" hidden="1" x14ac:dyDescent="0.4">
      <c r="A846">
        <v>1008</v>
      </c>
      <c r="B846" s="2"/>
      <c r="C846" s="4">
        <v>45908</v>
      </c>
      <c r="D846" s="5">
        <v>0.375</v>
      </c>
      <c r="E846" s="5">
        <v>0.4375</v>
      </c>
      <c r="F846" s="2" t="s">
        <v>9</v>
      </c>
      <c r="G846" s="2" t="s">
        <v>10</v>
      </c>
      <c r="H846" s="2" t="s">
        <v>77</v>
      </c>
      <c r="I846" s="2" t="s">
        <v>78</v>
      </c>
      <c r="J846" s="2">
        <v>102916</v>
      </c>
      <c r="K846" s="2" t="s">
        <v>79</v>
      </c>
      <c r="L846" s="2" t="s">
        <v>14</v>
      </c>
      <c r="M846" t="str">
        <f>K846 &amp; " " &amp; I846</f>
        <v>Olech Alexandre</v>
      </c>
      <c r="Q846" t="str">
        <f t="shared" si="73"/>
        <v>102916aolech</v>
      </c>
    </row>
    <row r="847" spans="1:17" hidden="1" x14ac:dyDescent="0.4">
      <c r="A847">
        <v>1009</v>
      </c>
      <c r="B847" s="2"/>
      <c r="C847" s="4">
        <v>45909</v>
      </c>
      <c r="D847" s="5">
        <v>0.5</v>
      </c>
      <c r="E847" s="5">
        <v>0.54166666666666663</v>
      </c>
      <c r="F847" s="2" t="s">
        <v>9</v>
      </c>
      <c r="G847" s="2" t="s">
        <v>10</v>
      </c>
      <c r="H847" s="2" t="s">
        <v>323</v>
      </c>
      <c r="I847" s="2" t="s">
        <v>313</v>
      </c>
      <c r="J847" s="2">
        <v>102753</v>
      </c>
      <c r="K847" s="2" t="s">
        <v>324</v>
      </c>
      <c r="L847" s="2" t="s">
        <v>18</v>
      </c>
      <c r="M847" t="str">
        <f>I847 &amp; " " &amp; K847</f>
        <v>Louis Guilleux</v>
      </c>
      <c r="Q847" t="str">
        <f t="shared" si="73"/>
        <v>102753lguilleux</v>
      </c>
    </row>
    <row r="848" spans="1:17" hidden="1" x14ac:dyDescent="0.4">
      <c r="A848">
        <v>1010</v>
      </c>
      <c r="B848" s="2"/>
      <c r="C848" s="4">
        <v>45909</v>
      </c>
      <c r="D848" s="5">
        <v>0.5</v>
      </c>
      <c r="E848" s="5">
        <v>0.54166666666666663</v>
      </c>
      <c r="F848" s="2" t="s">
        <v>9</v>
      </c>
      <c r="G848" s="2" t="s">
        <v>10</v>
      </c>
      <c r="H848" s="2" t="s">
        <v>51</v>
      </c>
      <c r="I848" s="2" t="s">
        <v>52</v>
      </c>
      <c r="J848" s="2">
        <v>102753</v>
      </c>
      <c r="K848" s="2" t="s">
        <v>53</v>
      </c>
      <c r="L848" s="2" t="s">
        <v>18</v>
      </c>
      <c r="M848" t="str">
        <f>I848 &amp; " " &amp; K848</f>
        <v>Adrien Guy-Duché</v>
      </c>
      <c r="Q848" t="str">
        <f t="shared" si="73"/>
        <v>102753aguyduche</v>
      </c>
    </row>
    <row r="849" spans="1:17" hidden="1" x14ac:dyDescent="0.4">
      <c r="A849">
        <v>1011</v>
      </c>
      <c r="B849" s="2"/>
      <c r="C849" s="4">
        <v>45908</v>
      </c>
      <c r="D849" s="5">
        <v>0.66666666666666663</v>
      </c>
      <c r="E849" s="5">
        <v>0.72916666666666663</v>
      </c>
      <c r="F849" s="2" t="s">
        <v>9</v>
      </c>
      <c r="G849" s="2" t="s">
        <v>10</v>
      </c>
      <c r="H849" s="2" t="s">
        <v>36</v>
      </c>
      <c r="I849" s="2" t="s">
        <v>37</v>
      </c>
      <c r="J849" s="2">
        <v>104855</v>
      </c>
      <c r="K849" s="2" t="s">
        <v>38</v>
      </c>
      <c r="L849" s="2" t="s">
        <v>14</v>
      </c>
      <c r="M849" t="str">
        <f>K849 &amp; " " &amp; I849</f>
        <v>Orthmann--Reichenbach Ariel, Eric</v>
      </c>
      <c r="Q849" t="str">
        <f t="shared" si="73"/>
        <v>104855aeorthmannreichenbach</v>
      </c>
    </row>
    <row r="850" spans="1:17" hidden="1" x14ac:dyDescent="0.4">
      <c r="A850">
        <v>1013</v>
      </c>
      <c r="B850" s="2"/>
      <c r="C850" s="4">
        <v>45908</v>
      </c>
      <c r="D850" s="5">
        <v>0.58333333333333337</v>
      </c>
      <c r="E850" s="5">
        <v>0.64583333333333337</v>
      </c>
      <c r="F850" s="2" t="s">
        <v>9</v>
      </c>
      <c r="G850" s="2" t="s">
        <v>10</v>
      </c>
      <c r="H850" s="2" t="s">
        <v>36</v>
      </c>
      <c r="I850" s="2" t="s">
        <v>37</v>
      </c>
      <c r="J850" s="2">
        <v>104551</v>
      </c>
      <c r="K850" s="2" t="s">
        <v>38</v>
      </c>
      <c r="L850" s="2" t="s">
        <v>18</v>
      </c>
      <c r="M850" t="str">
        <f>K850 &amp; " " &amp; I850</f>
        <v>Orthmann--Reichenbach Ariel, Eric</v>
      </c>
      <c r="Q850" t="str">
        <f t="shared" si="73"/>
        <v>104551aeorthmannreichenbach</v>
      </c>
    </row>
    <row r="851" spans="1:17" hidden="1" x14ac:dyDescent="0.4">
      <c r="A851">
        <v>1014</v>
      </c>
      <c r="B851" s="2"/>
      <c r="C851" s="4">
        <v>45908</v>
      </c>
      <c r="D851" s="5">
        <v>0.47916666666666669</v>
      </c>
      <c r="E851" s="5">
        <v>0.54166666666666663</v>
      </c>
      <c r="F851" s="2" t="s">
        <v>9</v>
      </c>
      <c r="G851" s="2" t="s">
        <v>10</v>
      </c>
      <c r="H851" s="2" t="s">
        <v>36</v>
      </c>
      <c r="I851" s="2" t="s">
        <v>37</v>
      </c>
      <c r="J851" s="2">
        <v>104550</v>
      </c>
      <c r="K851" s="2" t="s">
        <v>38</v>
      </c>
      <c r="L851" s="2" t="s">
        <v>18</v>
      </c>
      <c r="M851" t="str">
        <f>K851 &amp; " " &amp; I851</f>
        <v>Orthmann--Reichenbach Ariel, Eric</v>
      </c>
      <c r="Q851" t="str">
        <f t="shared" si="73"/>
        <v>104550aeorthmannreichenbach</v>
      </c>
    </row>
    <row r="852" spans="1:17" hidden="1" x14ac:dyDescent="0.4">
      <c r="A852">
        <v>1015</v>
      </c>
      <c r="B852" s="2"/>
      <c r="C852" s="4">
        <v>45908</v>
      </c>
      <c r="D852" s="5">
        <v>0.375</v>
      </c>
      <c r="E852" s="5">
        <v>0.4375</v>
      </c>
      <c r="F852" s="2" t="s">
        <v>9</v>
      </c>
      <c r="G852" s="2" t="s">
        <v>10</v>
      </c>
      <c r="H852" s="2" t="s">
        <v>36</v>
      </c>
      <c r="I852" s="2" t="s">
        <v>37</v>
      </c>
      <c r="J852" s="2">
        <v>102916</v>
      </c>
      <c r="K852" s="2" t="s">
        <v>38</v>
      </c>
      <c r="L852" s="2" t="s">
        <v>18</v>
      </c>
      <c r="M852" t="str">
        <f>K852 &amp; " " &amp; I852</f>
        <v>Orthmann--Reichenbach Ariel, Eric</v>
      </c>
      <c r="Q852" t="str">
        <f t="shared" si="73"/>
        <v>102916aeorthmannreichenbach</v>
      </c>
    </row>
    <row r="853" spans="1:17" hidden="1" x14ac:dyDescent="0.4">
      <c r="A853">
        <v>1016</v>
      </c>
      <c r="B853" s="2"/>
      <c r="C853" s="4">
        <v>45909</v>
      </c>
      <c r="D853" s="5">
        <v>0.5</v>
      </c>
      <c r="E853" s="5">
        <v>0.54166666666666663</v>
      </c>
      <c r="F853" s="2" t="s">
        <v>9</v>
      </c>
      <c r="G853" s="2" t="s">
        <v>10</v>
      </c>
      <c r="H853" s="2" t="s">
        <v>514</v>
      </c>
      <c r="I853" s="2" t="s">
        <v>515</v>
      </c>
      <c r="J853" s="2">
        <v>102753</v>
      </c>
      <c r="K853" s="2" t="s">
        <v>516</v>
      </c>
      <c r="L853" s="2" t="s">
        <v>18</v>
      </c>
      <c r="M853" t="str">
        <f>I853 &amp; " " &amp; K853</f>
        <v>Sarra Hamdoun</v>
      </c>
      <c r="Q853" t="str">
        <f t="shared" si="73"/>
        <v>102753shamdoun</v>
      </c>
    </row>
    <row r="854" spans="1:17" hidden="1" x14ac:dyDescent="0.4">
      <c r="A854">
        <v>1017</v>
      </c>
      <c r="B854" s="2"/>
      <c r="C854" s="4">
        <v>45909</v>
      </c>
      <c r="D854" s="5">
        <v>0.5</v>
      </c>
      <c r="E854" s="5">
        <v>0.54166666666666663</v>
      </c>
      <c r="F854" s="2" t="s">
        <v>9</v>
      </c>
      <c r="G854" s="2" t="s">
        <v>10</v>
      </c>
      <c r="H854" s="2" t="s">
        <v>493</v>
      </c>
      <c r="I854" s="2" t="s">
        <v>494</v>
      </c>
      <c r="J854" s="2">
        <v>102753</v>
      </c>
      <c r="K854" s="2" t="s">
        <v>495</v>
      </c>
      <c r="L854" s="2" t="s">
        <v>18</v>
      </c>
      <c r="M854" t="str">
        <f>I854 &amp; " " &amp; K854</f>
        <v>Rei Harada</v>
      </c>
      <c r="Q854" t="str">
        <f t="shared" si="73"/>
        <v>102753rharada</v>
      </c>
    </row>
    <row r="855" spans="1:17" hidden="1" x14ac:dyDescent="0.4">
      <c r="A855">
        <v>1019</v>
      </c>
      <c r="B855" s="2"/>
      <c r="C855" s="4">
        <v>45908</v>
      </c>
      <c r="D855" s="5">
        <v>0.58333333333333337</v>
      </c>
      <c r="E855" s="5">
        <v>0.64583333333333337</v>
      </c>
      <c r="F855" s="2" t="s">
        <v>9</v>
      </c>
      <c r="G855" s="2" t="s">
        <v>10</v>
      </c>
      <c r="H855" s="2" t="s">
        <v>235</v>
      </c>
      <c r="I855" s="2" t="s">
        <v>236</v>
      </c>
      <c r="J855" s="2">
        <v>104551</v>
      </c>
      <c r="K855" s="2" t="s">
        <v>237</v>
      </c>
      <c r="L855" s="2" t="s">
        <v>18</v>
      </c>
      <c r="M855" t="str">
        <f>K855 &amp; " " &amp; I855</f>
        <v>Ozenne Henri</v>
      </c>
      <c r="Q855" t="str">
        <f t="shared" si="73"/>
        <v>104551hozenne</v>
      </c>
    </row>
    <row r="856" spans="1:17" hidden="1" x14ac:dyDescent="0.4">
      <c r="A856">
        <v>1020</v>
      </c>
      <c r="B856" s="2"/>
      <c r="C856" s="4">
        <v>45908</v>
      </c>
      <c r="D856" s="5">
        <v>0.47916666666666669</v>
      </c>
      <c r="E856" s="5">
        <v>0.54166666666666663</v>
      </c>
      <c r="F856" s="2" t="s">
        <v>9</v>
      </c>
      <c r="G856" s="2" t="s">
        <v>10</v>
      </c>
      <c r="H856" s="2" t="s">
        <v>235</v>
      </c>
      <c r="I856" s="2" t="s">
        <v>236</v>
      </c>
      <c r="J856" s="2">
        <v>104550</v>
      </c>
      <c r="K856" s="2" t="s">
        <v>237</v>
      </c>
      <c r="L856" s="2" t="s">
        <v>18</v>
      </c>
      <c r="M856" t="str">
        <f>K856 &amp; " " &amp; I856</f>
        <v>Ozenne Henri</v>
      </c>
      <c r="Q856" t="str">
        <f t="shared" si="73"/>
        <v>104550hozenne</v>
      </c>
    </row>
    <row r="857" spans="1:17" hidden="1" x14ac:dyDescent="0.4">
      <c r="A857">
        <v>1022</v>
      </c>
      <c r="B857" s="2"/>
      <c r="C857" s="4">
        <v>45909</v>
      </c>
      <c r="D857" s="5">
        <v>0.5</v>
      </c>
      <c r="E857" s="5">
        <v>0.54166666666666663</v>
      </c>
      <c r="F857" s="2" t="s">
        <v>9</v>
      </c>
      <c r="G857" s="2" t="s">
        <v>10</v>
      </c>
      <c r="H857" s="2" t="s">
        <v>590</v>
      </c>
      <c r="I857" s="2" t="s">
        <v>578</v>
      </c>
      <c r="J857" s="2">
        <v>102753</v>
      </c>
      <c r="K857" s="2" t="s">
        <v>591</v>
      </c>
      <c r="L857" s="2" t="s">
        <v>18</v>
      </c>
      <c r="M857" t="str">
        <f t="shared" ref="M857:M863" si="76">I857 &amp; " " &amp; K857</f>
        <v>Victor Harnois</v>
      </c>
      <c r="Q857" t="str">
        <f t="shared" si="73"/>
        <v>102753vharnois</v>
      </c>
    </row>
    <row r="858" spans="1:17" hidden="1" x14ac:dyDescent="0.4">
      <c r="A858">
        <v>1023</v>
      </c>
      <c r="B858" s="2"/>
      <c r="C858" s="4">
        <v>45909</v>
      </c>
      <c r="D858" s="5">
        <v>0.5</v>
      </c>
      <c r="E858" s="5">
        <v>0.54166666666666663</v>
      </c>
      <c r="F858" s="2" t="s">
        <v>9</v>
      </c>
      <c r="G858" s="2" t="s">
        <v>10</v>
      </c>
      <c r="H858" s="2" t="s">
        <v>227</v>
      </c>
      <c r="I858" s="2" t="s">
        <v>228</v>
      </c>
      <c r="J858" s="2">
        <v>102753</v>
      </c>
      <c r="K858" s="2" t="s">
        <v>229</v>
      </c>
      <c r="L858" s="2" t="s">
        <v>18</v>
      </c>
      <c r="M858" t="str">
        <f t="shared" si="76"/>
        <v>Hugo Hernout</v>
      </c>
      <c r="Q858" t="str">
        <f t="shared" si="73"/>
        <v>102753hhernout</v>
      </c>
    </row>
    <row r="859" spans="1:17" hidden="1" x14ac:dyDescent="0.4">
      <c r="A859">
        <v>1024</v>
      </c>
      <c r="B859" s="2"/>
      <c r="C859" s="4">
        <v>45908</v>
      </c>
      <c r="D859" s="5">
        <v>0.66666666666666663</v>
      </c>
      <c r="E859" s="5">
        <v>0.72916666666666663</v>
      </c>
      <c r="F859" s="2" t="s">
        <v>9</v>
      </c>
      <c r="G859" s="2" t="s">
        <v>10</v>
      </c>
      <c r="H859" s="2" t="s">
        <v>531</v>
      </c>
      <c r="I859" s="2" t="s">
        <v>532</v>
      </c>
      <c r="J859" s="2">
        <v>104855</v>
      </c>
      <c r="K859" s="2" t="s">
        <v>533</v>
      </c>
      <c r="L859" s="2" t="s">
        <v>18</v>
      </c>
      <c r="M859" t="str">
        <f t="shared" si="76"/>
        <v>Siah Park</v>
      </c>
      <c r="Q859" t="str">
        <f t="shared" si="73"/>
        <v>104855spark</v>
      </c>
    </row>
    <row r="860" spans="1:17" hidden="1" x14ac:dyDescent="0.4">
      <c r="A860">
        <v>1026</v>
      </c>
      <c r="B860" s="2"/>
      <c r="C860" s="4">
        <v>45908</v>
      </c>
      <c r="D860" s="5">
        <v>0.58333333333333337</v>
      </c>
      <c r="E860" s="5">
        <v>0.64583333333333337</v>
      </c>
      <c r="F860" s="2" t="s">
        <v>9</v>
      </c>
      <c r="G860" s="2" t="s">
        <v>10</v>
      </c>
      <c r="H860" s="2" t="s">
        <v>531</v>
      </c>
      <c r="I860" s="2" t="s">
        <v>532</v>
      </c>
      <c r="J860" s="2">
        <v>104551</v>
      </c>
      <c r="K860" s="2" t="s">
        <v>533</v>
      </c>
      <c r="L860" s="2" t="s">
        <v>18</v>
      </c>
      <c r="M860" t="str">
        <f t="shared" si="76"/>
        <v>Siah Park</v>
      </c>
      <c r="Q860" t="str">
        <f t="shared" ref="Q860:Q914" si="77">J860&amp;H860</f>
        <v>104551spark</v>
      </c>
    </row>
    <row r="861" spans="1:17" hidden="1" x14ac:dyDescent="0.4">
      <c r="A861">
        <v>1027</v>
      </c>
      <c r="B861" s="2"/>
      <c r="C861" s="4">
        <v>45908</v>
      </c>
      <c r="D861" s="5">
        <v>0.47916666666666669</v>
      </c>
      <c r="E861" s="5">
        <v>0.54166666666666663</v>
      </c>
      <c r="F861" s="2" t="s">
        <v>9</v>
      </c>
      <c r="G861" s="2" t="s">
        <v>10</v>
      </c>
      <c r="H861" s="2" t="s">
        <v>531</v>
      </c>
      <c r="I861" s="2" t="s">
        <v>532</v>
      </c>
      <c r="J861" s="2">
        <v>104550</v>
      </c>
      <c r="K861" s="2" t="s">
        <v>533</v>
      </c>
      <c r="L861" s="2" t="s">
        <v>18</v>
      </c>
      <c r="M861" t="str">
        <f t="shared" si="76"/>
        <v>Siah Park</v>
      </c>
      <c r="Q861" t="str">
        <f t="shared" si="77"/>
        <v>104550spark</v>
      </c>
    </row>
    <row r="862" spans="1:17" hidden="1" x14ac:dyDescent="0.4">
      <c r="A862">
        <v>1028</v>
      </c>
      <c r="B862" s="2"/>
      <c r="C862" s="4">
        <v>45908</v>
      </c>
      <c r="D862" s="5">
        <v>0.375</v>
      </c>
      <c r="E862" s="5">
        <v>0.4375</v>
      </c>
      <c r="F862" s="2" t="s">
        <v>9</v>
      </c>
      <c r="G862" s="2" t="s">
        <v>10</v>
      </c>
      <c r="H862" s="2" t="s">
        <v>531</v>
      </c>
      <c r="I862" s="2" t="s">
        <v>532</v>
      </c>
      <c r="J862" s="2">
        <v>102916</v>
      </c>
      <c r="K862" s="2" t="s">
        <v>533</v>
      </c>
      <c r="L862" s="2" t="s">
        <v>18</v>
      </c>
      <c r="M862" t="str">
        <f t="shared" si="76"/>
        <v>Siah Park</v>
      </c>
      <c r="Q862" t="str">
        <f t="shared" si="77"/>
        <v>102916spark</v>
      </c>
    </row>
    <row r="863" spans="1:17" hidden="1" x14ac:dyDescent="0.4">
      <c r="A863">
        <v>1029</v>
      </c>
      <c r="B863" s="2"/>
      <c r="C863" s="4">
        <v>45909</v>
      </c>
      <c r="D863" s="5">
        <v>0.5</v>
      </c>
      <c r="E863" s="5">
        <v>0.54166666666666663</v>
      </c>
      <c r="F863" s="2" t="s">
        <v>9</v>
      </c>
      <c r="G863" s="2" t="s">
        <v>10</v>
      </c>
      <c r="H863" s="2" t="s">
        <v>157</v>
      </c>
      <c r="I863" s="2" t="s">
        <v>158</v>
      </c>
      <c r="J863" s="2">
        <v>102753</v>
      </c>
      <c r="K863" s="2" t="s">
        <v>159</v>
      </c>
      <c r="L863" s="2" t="s">
        <v>18</v>
      </c>
      <c r="M863" t="str">
        <f t="shared" si="76"/>
        <v>Éléa Hetzel</v>
      </c>
      <c r="Q863" t="str">
        <f t="shared" si="77"/>
        <v>102753ehetzel</v>
      </c>
    </row>
    <row r="864" spans="1:17" hidden="1" x14ac:dyDescent="0.4">
      <c r="A864">
        <v>1030</v>
      </c>
      <c r="B864" s="2"/>
      <c r="C864" s="4">
        <v>45909</v>
      </c>
      <c r="D864" s="5">
        <v>0.5</v>
      </c>
      <c r="E864" s="5">
        <v>0.54166666666666663</v>
      </c>
      <c r="F864" s="2" t="s">
        <v>9</v>
      </c>
      <c r="G864" s="2" t="s">
        <v>10</v>
      </c>
      <c r="H864" s="2" t="s">
        <v>284</v>
      </c>
      <c r="I864" s="2" t="s">
        <v>285</v>
      </c>
      <c r="J864" s="2">
        <v>102753</v>
      </c>
      <c r="K864" s="2" t="s">
        <v>286</v>
      </c>
      <c r="L864" s="2" t="s">
        <v>18</v>
      </c>
      <c r="M864" t="str">
        <f>K864 &amp; " " &amp; I864</f>
        <v>Huang Jiayue</v>
      </c>
      <c r="Q864" t="str">
        <f t="shared" si="77"/>
        <v>102753jhuang1</v>
      </c>
    </row>
    <row r="865" spans="1:17" hidden="1" x14ac:dyDescent="0.4">
      <c r="A865">
        <v>1031</v>
      </c>
      <c r="B865" s="2"/>
      <c r="C865" s="4">
        <v>45908</v>
      </c>
      <c r="D865" s="5">
        <v>0.66666666666666663</v>
      </c>
      <c r="E865" s="5">
        <v>0.72916666666666663</v>
      </c>
      <c r="F865" s="2" t="s">
        <v>9</v>
      </c>
      <c r="G865" s="2" t="s">
        <v>10</v>
      </c>
      <c r="H865" s="2" t="s">
        <v>386</v>
      </c>
      <c r="I865" s="2" t="s">
        <v>387</v>
      </c>
      <c r="J865" s="2">
        <v>104855</v>
      </c>
      <c r="K865" s="2" t="s">
        <v>388</v>
      </c>
      <c r="L865" s="2" t="s">
        <v>18</v>
      </c>
      <c r="M865" t="str">
        <f>I865 &amp; " " &amp; K865</f>
        <v>Miho Pascal</v>
      </c>
      <c r="Q865" t="str">
        <f t="shared" si="77"/>
        <v>104855mpascal1</v>
      </c>
    </row>
    <row r="866" spans="1:17" hidden="1" x14ac:dyDescent="0.4">
      <c r="A866">
        <v>1033</v>
      </c>
      <c r="B866" s="2"/>
      <c r="C866" s="4">
        <v>45908</v>
      </c>
      <c r="D866" s="5">
        <v>0.58333333333333337</v>
      </c>
      <c r="E866" s="5">
        <v>0.64583333333333337</v>
      </c>
      <c r="F866" s="2" t="s">
        <v>9</v>
      </c>
      <c r="G866" s="2" t="s">
        <v>10</v>
      </c>
      <c r="H866" s="2" t="s">
        <v>386</v>
      </c>
      <c r="I866" s="2" t="s">
        <v>387</v>
      </c>
      <c r="J866" s="2">
        <v>104551</v>
      </c>
      <c r="K866" s="2" t="s">
        <v>388</v>
      </c>
      <c r="L866" s="2" t="s">
        <v>18</v>
      </c>
      <c r="M866" t="str">
        <f>I866 &amp; " " &amp; K866</f>
        <v>Miho Pascal</v>
      </c>
      <c r="Q866" t="str">
        <f t="shared" si="77"/>
        <v>104551mpascal1</v>
      </c>
    </row>
    <row r="867" spans="1:17" hidden="1" x14ac:dyDescent="0.4">
      <c r="A867">
        <v>1034</v>
      </c>
      <c r="B867" s="2"/>
      <c r="C867" s="4">
        <v>45908</v>
      </c>
      <c r="D867" s="5">
        <v>0.47916666666666669</v>
      </c>
      <c r="E867" s="5">
        <v>0.54166666666666663</v>
      </c>
      <c r="F867" s="2" t="s">
        <v>9</v>
      </c>
      <c r="G867" s="2" t="s">
        <v>10</v>
      </c>
      <c r="H867" s="2" t="s">
        <v>386</v>
      </c>
      <c r="I867" s="2" t="s">
        <v>387</v>
      </c>
      <c r="J867" s="2">
        <v>104550</v>
      </c>
      <c r="K867" s="2" t="s">
        <v>388</v>
      </c>
      <c r="L867" s="2" t="s">
        <v>18</v>
      </c>
      <c r="M867" t="str">
        <f>I867 &amp; " " &amp; K867</f>
        <v>Miho Pascal</v>
      </c>
      <c r="Q867" t="str">
        <f t="shared" si="77"/>
        <v>104550mpascal1</v>
      </c>
    </row>
    <row r="868" spans="1:17" hidden="1" x14ac:dyDescent="0.4">
      <c r="A868">
        <v>1035</v>
      </c>
      <c r="B868" s="2"/>
      <c r="C868" s="4">
        <v>45908</v>
      </c>
      <c r="D868" s="5">
        <v>0.375</v>
      </c>
      <c r="E868" s="5">
        <v>0.4375</v>
      </c>
      <c r="F868" s="2" t="s">
        <v>9</v>
      </c>
      <c r="G868" s="2" t="s">
        <v>10</v>
      </c>
      <c r="H868" s="2" t="s">
        <v>386</v>
      </c>
      <c r="I868" s="2" t="s">
        <v>387</v>
      </c>
      <c r="J868" s="2">
        <v>102916</v>
      </c>
      <c r="K868" s="2" t="s">
        <v>388</v>
      </c>
      <c r="L868" s="2" t="s">
        <v>18</v>
      </c>
      <c r="M868" t="str">
        <f>I868 &amp; " " &amp; K868</f>
        <v>Miho Pascal</v>
      </c>
      <c r="Q868" t="str">
        <f t="shared" si="77"/>
        <v>102916mpascal1</v>
      </c>
    </row>
    <row r="869" spans="1:17" hidden="1" x14ac:dyDescent="0.4">
      <c r="A869">
        <v>1036</v>
      </c>
      <c r="B869" s="2"/>
      <c r="C869" s="4">
        <v>45909</v>
      </c>
      <c r="D869" s="5">
        <v>0.5</v>
      </c>
      <c r="E869" s="5">
        <v>0.54166666666666663</v>
      </c>
      <c r="F869" s="2" t="s">
        <v>9</v>
      </c>
      <c r="G869" s="2" t="s">
        <v>10</v>
      </c>
      <c r="H869" s="2" t="s">
        <v>54</v>
      </c>
      <c r="I869" s="2" t="s">
        <v>55</v>
      </c>
      <c r="J869" s="2">
        <v>102753</v>
      </c>
      <c r="K869" s="2" t="s">
        <v>56</v>
      </c>
      <c r="L869" s="2" t="s">
        <v>18</v>
      </c>
      <c r="M869" t="str">
        <f>I869 &amp; " " &amp; K869</f>
        <v>Alonso Huerta</v>
      </c>
      <c r="Q869" t="str">
        <f t="shared" si="77"/>
        <v>102753ahuerta</v>
      </c>
    </row>
    <row r="870" spans="1:17" hidden="1" x14ac:dyDescent="0.4">
      <c r="A870">
        <v>1037</v>
      </c>
      <c r="B870" s="2"/>
      <c r="C870" s="4">
        <v>45909</v>
      </c>
      <c r="D870" s="5">
        <v>0.5</v>
      </c>
      <c r="E870" s="5">
        <v>0.54166666666666663</v>
      </c>
      <c r="F870" s="2" t="s">
        <v>9</v>
      </c>
      <c r="G870" s="2" t="s">
        <v>10</v>
      </c>
      <c r="H870" s="2" t="s">
        <v>230</v>
      </c>
      <c r="I870" s="2" t="s">
        <v>228</v>
      </c>
      <c r="J870" s="2">
        <v>102753</v>
      </c>
      <c r="K870" s="2" t="s">
        <v>231</v>
      </c>
      <c r="L870" s="2" t="s">
        <v>18</v>
      </c>
      <c r="M870" t="str">
        <f t="shared" ref="M870:M874" si="78">K870 &amp; " " &amp; I870</f>
        <v>Jarry Hugo</v>
      </c>
      <c r="Q870" t="str">
        <f t="shared" si="77"/>
        <v>102753hjarry</v>
      </c>
    </row>
    <row r="871" spans="1:17" hidden="1" x14ac:dyDescent="0.4">
      <c r="A871">
        <v>1039</v>
      </c>
      <c r="B871" s="2"/>
      <c r="C871" s="4">
        <v>45908</v>
      </c>
      <c r="D871" s="5">
        <v>0.58333333333333337</v>
      </c>
      <c r="E871" s="5">
        <v>0.64583333333333337</v>
      </c>
      <c r="F871" s="2" t="s">
        <v>9</v>
      </c>
      <c r="G871" s="2" t="s">
        <v>10</v>
      </c>
      <c r="H871" s="2" t="s">
        <v>105</v>
      </c>
      <c r="I871" s="2" t="s">
        <v>97</v>
      </c>
      <c r="J871" s="2">
        <v>104551</v>
      </c>
      <c r="K871" s="2" t="s">
        <v>106</v>
      </c>
      <c r="L871" s="2" t="s">
        <v>14</v>
      </c>
      <c r="M871" t="str">
        <f t="shared" si="78"/>
        <v>Pauvert Clément</v>
      </c>
      <c r="Q871" t="str">
        <f t="shared" si="77"/>
        <v>104551cpauvert</v>
      </c>
    </row>
    <row r="872" spans="1:17" hidden="1" x14ac:dyDescent="0.4">
      <c r="A872">
        <v>1040</v>
      </c>
      <c r="B872" s="2"/>
      <c r="C872" s="4">
        <v>45908</v>
      </c>
      <c r="D872" s="5">
        <v>0.47916666666666669</v>
      </c>
      <c r="E872" s="5">
        <v>0.54166666666666663</v>
      </c>
      <c r="F872" s="2" t="s">
        <v>9</v>
      </c>
      <c r="G872" s="2" t="s">
        <v>10</v>
      </c>
      <c r="H872" s="2" t="s">
        <v>105</v>
      </c>
      <c r="I872" s="2" t="s">
        <v>97</v>
      </c>
      <c r="J872" s="2">
        <v>104550</v>
      </c>
      <c r="K872" s="2" t="s">
        <v>106</v>
      </c>
      <c r="L872" s="2" t="s">
        <v>14</v>
      </c>
      <c r="M872" t="str">
        <f t="shared" si="78"/>
        <v>Pauvert Clément</v>
      </c>
      <c r="Q872" t="str">
        <f t="shared" si="77"/>
        <v>104550cpauvert</v>
      </c>
    </row>
    <row r="873" spans="1:17" hidden="1" x14ac:dyDescent="0.4">
      <c r="A873">
        <v>1041</v>
      </c>
      <c r="B873" s="2"/>
      <c r="C873" s="4">
        <v>45908</v>
      </c>
      <c r="D873" s="5">
        <v>0.375</v>
      </c>
      <c r="E873" s="5">
        <v>0.4375</v>
      </c>
      <c r="F873" s="2" t="s">
        <v>9</v>
      </c>
      <c r="G873" s="2" t="s">
        <v>10</v>
      </c>
      <c r="H873" s="2" t="s">
        <v>105</v>
      </c>
      <c r="I873" s="2" t="s">
        <v>97</v>
      </c>
      <c r="J873" s="2">
        <v>102916</v>
      </c>
      <c r="K873" s="2" t="s">
        <v>106</v>
      </c>
      <c r="L873" s="2" t="s">
        <v>14</v>
      </c>
      <c r="M873" t="str">
        <f t="shared" si="78"/>
        <v>Pauvert Clément</v>
      </c>
      <c r="Q873" t="str">
        <f t="shared" si="77"/>
        <v>102916cpauvert</v>
      </c>
    </row>
    <row r="874" spans="1:17" hidden="1" x14ac:dyDescent="0.4">
      <c r="A874">
        <v>1042</v>
      </c>
      <c r="B874" s="2"/>
      <c r="C874" s="4">
        <v>45909</v>
      </c>
      <c r="D874" s="5">
        <v>0.5</v>
      </c>
      <c r="E874" s="5">
        <v>0.54166666666666663</v>
      </c>
      <c r="F874" s="2" t="s">
        <v>9</v>
      </c>
      <c r="G874" s="2" t="s">
        <v>10</v>
      </c>
      <c r="H874" s="2" t="s">
        <v>160</v>
      </c>
      <c r="I874" s="2" t="s">
        <v>161</v>
      </c>
      <c r="J874" s="2">
        <v>102753</v>
      </c>
      <c r="K874" s="2" t="s">
        <v>162</v>
      </c>
      <c r="L874" s="2" t="s">
        <v>14</v>
      </c>
      <c r="M874" t="str">
        <f t="shared" si="78"/>
        <v>Jaume Masferrer Enric</v>
      </c>
      <c r="Q874" t="str">
        <f t="shared" si="77"/>
        <v>102753ejaumemasferrer</v>
      </c>
    </row>
    <row r="875" spans="1:17" hidden="1" x14ac:dyDescent="0.4">
      <c r="A875">
        <v>1043</v>
      </c>
      <c r="B875" s="2"/>
      <c r="C875" s="4">
        <v>45909</v>
      </c>
      <c r="D875" s="5">
        <v>0.5</v>
      </c>
      <c r="E875" s="5">
        <v>0.54166666666666663</v>
      </c>
      <c r="F875" s="2" t="s">
        <v>9</v>
      </c>
      <c r="G875" s="2" t="s">
        <v>10</v>
      </c>
      <c r="H875" s="2" t="s">
        <v>57</v>
      </c>
      <c r="I875" s="2" t="s">
        <v>31</v>
      </c>
      <c r="J875" s="2">
        <v>102753</v>
      </c>
      <c r="K875" s="2" t="s">
        <v>58</v>
      </c>
      <c r="L875" s="2" t="s">
        <v>18</v>
      </c>
      <c r="M875" t="str">
        <f>I875 &amp; " " &amp; K875</f>
        <v>Antoine Jeannot</v>
      </c>
      <c r="Q875" t="str">
        <f t="shared" si="77"/>
        <v>102753ajeannot</v>
      </c>
    </row>
    <row r="876" spans="1:17" hidden="1" x14ac:dyDescent="0.4">
      <c r="A876">
        <v>1044</v>
      </c>
      <c r="B876" s="2"/>
      <c r="C876" s="4">
        <v>45908</v>
      </c>
      <c r="D876" s="5">
        <v>0.66666666666666663</v>
      </c>
      <c r="E876" s="5">
        <v>0.72916666666666663</v>
      </c>
      <c r="F876" s="2" t="s">
        <v>9</v>
      </c>
      <c r="G876" s="2" t="s">
        <v>10</v>
      </c>
      <c r="H876" s="2" t="s">
        <v>534</v>
      </c>
      <c r="I876" s="2" t="s">
        <v>523</v>
      </c>
      <c r="J876" s="2">
        <v>104855</v>
      </c>
      <c r="K876" s="2" t="s">
        <v>535</v>
      </c>
      <c r="L876" s="2" t="s">
        <v>18</v>
      </c>
      <c r="M876" t="str">
        <f>I876 &amp; " " &amp; K876</f>
        <v>Sarah Pérarnaud Aramendi</v>
      </c>
      <c r="Q876" t="str">
        <f t="shared" si="77"/>
        <v>104855sperarnaudaramendi</v>
      </c>
    </row>
    <row r="877" spans="1:17" hidden="1" x14ac:dyDescent="0.4">
      <c r="A877">
        <v>1046</v>
      </c>
      <c r="B877" s="2"/>
      <c r="C877" s="4">
        <v>45908</v>
      </c>
      <c r="D877" s="5">
        <v>0.58333333333333337</v>
      </c>
      <c r="E877" s="5">
        <v>0.64583333333333337</v>
      </c>
      <c r="F877" s="2" t="s">
        <v>9</v>
      </c>
      <c r="G877" s="2" t="s">
        <v>10</v>
      </c>
      <c r="H877" s="2" t="s">
        <v>534</v>
      </c>
      <c r="I877" s="2" t="s">
        <v>523</v>
      </c>
      <c r="J877" s="2">
        <v>104551</v>
      </c>
      <c r="K877" s="2" t="s">
        <v>535</v>
      </c>
      <c r="L877" s="2" t="s">
        <v>18</v>
      </c>
      <c r="M877" t="str">
        <f>I877 &amp; " " &amp; K877</f>
        <v>Sarah Pérarnaud Aramendi</v>
      </c>
      <c r="Q877" t="str">
        <f t="shared" si="77"/>
        <v>104551sperarnaudaramendi</v>
      </c>
    </row>
    <row r="878" spans="1:17" hidden="1" x14ac:dyDescent="0.4">
      <c r="A878">
        <v>1047</v>
      </c>
      <c r="B878" s="2"/>
      <c r="C878" s="4">
        <v>45908</v>
      </c>
      <c r="D878" s="5">
        <v>0.47916666666666669</v>
      </c>
      <c r="E878" s="5">
        <v>0.54166666666666663</v>
      </c>
      <c r="F878" s="2" t="s">
        <v>9</v>
      </c>
      <c r="G878" s="2" t="s">
        <v>10</v>
      </c>
      <c r="H878" s="2" t="s">
        <v>534</v>
      </c>
      <c r="I878" s="2" t="s">
        <v>523</v>
      </c>
      <c r="J878" s="2">
        <v>104550</v>
      </c>
      <c r="K878" s="2" t="s">
        <v>535</v>
      </c>
      <c r="L878" s="2" t="s">
        <v>18</v>
      </c>
      <c r="M878" t="str">
        <f>I878 &amp; " " &amp; K878</f>
        <v>Sarah Pérarnaud Aramendi</v>
      </c>
      <c r="Q878" t="str">
        <f t="shared" si="77"/>
        <v>104550sperarnaudaramendi</v>
      </c>
    </row>
    <row r="879" spans="1:17" hidden="1" x14ac:dyDescent="0.4">
      <c r="A879">
        <v>1048</v>
      </c>
      <c r="B879" s="2"/>
      <c r="C879" s="4">
        <v>45908</v>
      </c>
      <c r="D879" s="5">
        <v>0.375</v>
      </c>
      <c r="E879" s="5">
        <v>0.4375</v>
      </c>
      <c r="F879" s="2" t="s">
        <v>9</v>
      </c>
      <c r="G879" s="2" t="s">
        <v>10</v>
      </c>
      <c r="H879" s="2" t="s">
        <v>534</v>
      </c>
      <c r="I879" s="2" t="s">
        <v>523</v>
      </c>
      <c r="J879" s="2">
        <v>102916</v>
      </c>
      <c r="K879" s="2" t="s">
        <v>535</v>
      </c>
      <c r="L879" s="2" t="s">
        <v>18</v>
      </c>
      <c r="M879" t="str">
        <f>K879 &amp; " " &amp; I879</f>
        <v>Pérarnaud Aramendi Sarah</v>
      </c>
      <c r="Q879" t="str">
        <f t="shared" si="77"/>
        <v>102916sperarnaudaramendi</v>
      </c>
    </row>
    <row r="880" spans="1:17" hidden="1" x14ac:dyDescent="0.4">
      <c r="A880">
        <v>1049</v>
      </c>
      <c r="B880" s="2"/>
      <c r="C880" s="4">
        <v>45909</v>
      </c>
      <c r="D880" s="5">
        <v>0.5</v>
      </c>
      <c r="E880" s="5">
        <v>0.54166666666666663</v>
      </c>
      <c r="F880" s="2" t="s">
        <v>9</v>
      </c>
      <c r="G880" s="2" t="s">
        <v>10</v>
      </c>
      <c r="H880" s="2" t="s">
        <v>563</v>
      </c>
      <c r="I880" s="2" t="s">
        <v>564</v>
      </c>
      <c r="J880" s="2">
        <v>102753</v>
      </c>
      <c r="K880" s="2" t="s">
        <v>565</v>
      </c>
      <c r="L880" s="2" t="s">
        <v>14</v>
      </c>
      <c r="M880" t="str">
        <f>K880 &amp; " " &amp; I880</f>
        <v>Jen Takashi</v>
      </c>
      <c r="Q880" t="str">
        <f t="shared" si="77"/>
        <v>102753tjen</v>
      </c>
    </row>
    <row r="881" spans="1:17" hidden="1" x14ac:dyDescent="0.4">
      <c r="A881">
        <v>1050</v>
      </c>
      <c r="B881" s="2"/>
      <c r="C881" s="4">
        <v>45909</v>
      </c>
      <c r="D881" s="5">
        <v>0.5</v>
      </c>
      <c r="E881" s="5">
        <v>0.54166666666666663</v>
      </c>
      <c r="F881" s="2" t="s">
        <v>9</v>
      </c>
      <c r="G881" s="2" t="s">
        <v>10</v>
      </c>
      <c r="H881" s="2" t="s">
        <v>232</v>
      </c>
      <c r="I881" s="2" t="s">
        <v>233</v>
      </c>
      <c r="J881" s="2">
        <v>102753</v>
      </c>
      <c r="K881" s="2" t="s">
        <v>234</v>
      </c>
      <c r="L881" s="2" t="s">
        <v>18</v>
      </c>
      <c r="M881" t="str">
        <f>I881 &amp; " " &amp; K881</f>
        <v>Henry Joly</v>
      </c>
      <c r="Q881" t="str">
        <f t="shared" si="77"/>
        <v>102753hjoly</v>
      </c>
    </row>
    <row r="882" spans="1:17" hidden="1" x14ac:dyDescent="0.4">
      <c r="A882">
        <v>1051</v>
      </c>
      <c r="B882" s="2"/>
      <c r="C882" s="4">
        <v>45908</v>
      </c>
      <c r="D882" s="5">
        <v>0.66666666666666663</v>
      </c>
      <c r="E882" s="5">
        <v>0.72916666666666663</v>
      </c>
      <c r="F882" s="2" t="s">
        <v>9</v>
      </c>
      <c r="G882" s="2" t="s">
        <v>10</v>
      </c>
      <c r="H882" s="2" t="s">
        <v>293</v>
      </c>
      <c r="I882" s="2" t="s">
        <v>273</v>
      </c>
      <c r="J882" s="2">
        <v>104855</v>
      </c>
      <c r="K882" s="2" t="s">
        <v>294</v>
      </c>
      <c r="L882" s="2" t="s">
        <v>14</v>
      </c>
      <c r="M882" t="str">
        <f>K882 &amp; " " &amp; I882</f>
        <v>Perez Jules</v>
      </c>
      <c r="Q882" t="str">
        <f t="shared" si="77"/>
        <v>104855jperez1</v>
      </c>
    </row>
    <row r="883" spans="1:17" hidden="1" x14ac:dyDescent="0.4">
      <c r="A883">
        <v>1053</v>
      </c>
      <c r="B883" s="2"/>
      <c r="C883" s="4">
        <v>45908</v>
      </c>
      <c r="D883" s="5">
        <v>0.58333333333333337</v>
      </c>
      <c r="E883" s="5">
        <v>0.64583333333333337</v>
      </c>
      <c r="F883" s="2" t="s">
        <v>9</v>
      </c>
      <c r="G883" s="2" t="s">
        <v>10</v>
      </c>
      <c r="H883" s="2" t="s">
        <v>293</v>
      </c>
      <c r="I883" s="2" t="s">
        <v>273</v>
      </c>
      <c r="J883" s="2">
        <v>104551</v>
      </c>
      <c r="K883" s="2" t="s">
        <v>294</v>
      </c>
      <c r="L883" s="2" t="s">
        <v>14</v>
      </c>
      <c r="M883" t="str">
        <f>K883 &amp; " " &amp; I883</f>
        <v>Perez Jules</v>
      </c>
      <c r="Q883" t="str">
        <f t="shared" si="77"/>
        <v>104551jperez1</v>
      </c>
    </row>
    <row r="884" spans="1:17" hidden="1" x14ac:dyDescent="0.4">
      <c r="A884">
        <v>1054</v>
      </c>
      <c r="B884" s="2"/>
      <c r="C884" s="4">
        <v>45908</v>
      </c>
      <c r="D884" s="5">
        <v>0.47916666666666669</v>
      </c>
      <c r="E884" s="5">
        <v>0.54166666666666663</v>
      </c>
      <c r="F884" s="2" t="s">
        <v>9</v>
      </c>
      <c r="G884" s="2" t="s">
        <v>10</v>
      </c>
      <c r="H884" s="2" t="s">
        <v>293</v>
      </c>
      <c r="I884" s="2" t="s">
        <v>273</v>
      </c>
      <c r="J884" s="2">
        <v>104550</v>
      </c>
      <c r="K884" s="2" t="s">
        <v>294</v>
      </c>
      <c r="L884" s="2" t="s">
        <v>14</v>
      </c>
      <c r="M884" t="str">
        <f>K884 &amp; " " &amp; I884</f>
        <v>Perez Jules</v>
      </c>
      <c r="Q884" t="str">
        <f t="shared" si="77"/>
        <v>104550jperez1</v>
      </c>
    </row>
    <row r="885" spans="1:17" hidden="1" x14ac:dyDescent="0.4">
      <c r="A885">
        <v>1055</v>
      </c>
      <c r="B885" s="2"/>
      <c r="C885" s="4">
        <v>45908</v>
      </c>
      <c r="D885" s="5">
        <v>0.375</v>
      </c>
      <c r="E885" s="5">
        <v>0.4375</v>
      </c>
      <c r="F885" s="2" t="s">
        <v>9</v>
      </c>
      <c r="G885" s="2" t="s">
        <v>10</v>
      </c>
      <c r="H885" s="2" t="s">
        <v>293</v>
      </c>
      <c r="I885" s="2" t="s">
        <v>273</v>
      </c>
      <c r="J885" s="2">
        <v>102916</v>
      </c>
      <c r="K885" s="2" t="s">
        <v>294</v>
      </c>
      <c r="L885" s="2" t="s">
        <v>14</v>
      </c>
      <c r="M885" t="str">
        <f>K885 &amp; " " &amp; I885</f>
        <v>Perez Jules</v>
      </c>
      <c r="Q885" t="str">
        <f t="shared" si="77"/>
        <v>102916jperez1</v>
      </c>
    </row>
    <row r="886" spans="1:17" hidden="1" x14ac:dyDescent="0.4">
      <c r="A886">
        <v>1056</v>
      </c>
      <c r="B886" s="2"/>
      <c r="C886" s="4">
        <v>45909</v>
      </c>
      <c r="D886" s="5">
        <v>0.5</v>
      </c>
      <c r="E886" s="5">
        <v>0.54166666666666663</v>
      </c>
      <c r="F886" s="2" t="s">
        <v>9</v>
      </c>
      <c r="G886" s="2" t="s">
        <v>10</v>
      </c>
      <c r="H886" s="2" t="s">
        <v>424</v>
      </c>
      <c r="I886" s="2" t="s">
        <v>425</v>
      </c>
      <c r="J886" s="2">
        <v>102753</v>
      </c>
      <c r="K886" s="2" t="s">
        <v>426</v>
      </c>
      <c r="L886" s="2" t="s">
        <v>18</v>
      </c>
      <c r="M886" t="str">
        <f>I886 &amp; " " &amp; K886</f>
        <v>Nils Josselin</v>
      </c>
      <c r="Q886" t="str">
        <f t="shared" si="77"/>
        <v>102753njosselin</v>
      </c>
    </row>
    <row r="887" spans="1:17" hidden="1" x14ac:dyDescent="0.4">
      <c r="A887">
        <v>1057</v>
      </c>
      <c r="B887" s="2"/>
      <c r="C887" s="4">
        <v>45909</v>
      </c>
      <c r="D887" s="5">
        <v>0.5</v>
      </c>
      <c r="E887" s="5">
        <v>0.54166666666666663</v>
      </c>
      <c r="F887" s="2" t="s">
        <v>9</v>
      </c>
      <c r="G887" s="2" t="s">
        <v>10</v>
      </c>
      <c r="H887" s="2" t="s">
        <v>496</v>
      </c>
      <c r="I887" s="2" t="s">
        <v>497</v>
      </c>
      <c r="J887" s="2">
        <v>102753</v>
      </c>
      <c r="K887" s="2" t="s">
        <v>498</v>
      </c>
      <c r="L887" s="2" t="s">
        <v>18</v>
      </c>
      <c r="M887" t="str">
        <f>I887 &amp; " " &amp; K887</f>
        <v>Rouben Kazandjian</v>
      </c>
      <c r="Q887" t="str">
        <f t="shared" si="77"/>
        <v>102753rkazandjian</v>
      </c>
    </row>
    <row r="888" spans="1:17" hidden="1" x14ac:dyDescent="0.4">
      <c r="A888">
        <v>1058</v>
      </c>
      <c r="B888" s="2"/>
      <c r="C888" s="4">
        <v>45908</v>
      </c>
      <c r="D888" s="5">
        <v>0.66666666666666663</v>
      </c>
      <c r="E888" s="5">
        <v>0.72916666666666663</v>
      </c>
      <c r="F888" s="2" t="s">
        <v>9</v>
      </c>
      <c r="G888" s="2" t="s">
        <v>10</v>
      </c>
      <c r="H888" s="2" t="s">
        <v>80</v>
      </c>
      <c r="I888" s="2" t="s">
        <v>81</v>
      </c>
      <c r="J888" s="2">
        <v>104855</v>
      </c>
      <c r="K888" s="2" t="s">
        <v>82</v>
      </c>
      <c r="L888" s="2" t="s">
        <v>18</v>
      </c>
      <c r="M888" t="str">
        <f>K888 &amp; " " &amp; I888</f>
        <v>Pesnel Armand</v>
      </c>
      <c r="Q888" t="str">
        <f t="shared" si="77"/>
        <v>104855apesnel</v>
      </c>
    </row>
    <row r="889" spans="1:17" hidden="1" x14ac:dyDescent="0.4">
      <c r="A889">
        <v>1060</v>
      </c>
      <c r="B889" s="2"/>
      <c r="C889" s="4">
        <v>45908</v>
      </c>
      <c r="D889" s="5">
        <v>0.58333333333333337</v>
      </c>
      <c r="E889" s="5">
        <v>0.64583333333333337</v>
      </c>
      <c r="F889" s="2" t="s">
        <v>9</v>
      </c>
      <c r="G889" s="2" t="s">
        <v>10</v>
      </c>
      <c r="H889" s="2" t="s">
        <v>80</v>
      </c>
      <c r="I889" s="2" t="s">
        <v>81</v>
      </c>
      <c r="J889" s="2">
        <v>104551</v>
      </c>
      <c r="K889" s="2" t="s">
        <v>82</v>
      </c>
      <c r="L889" s="2" t="s">
        <v>18</v>
      </c>
      <c r="M889" t="str">
        <f>K889 &amp; " " &amp; I889</f>
        <v>Pesnel Armand</v>
      </c>
      <c r="Q889" t="str">
        <f t="shared" si="77"/>
        <v>104551apesnel</v>
      </c>
    </row>
    <row r="890" spans="1:17" hidden="1" x14ac:dyDescent="0.4">
      <c r="A890">
        <v>1061</v>
      </c>
      <c r="B890" s="2"/>
      <c r="C890" s="4">
        <v>45908</v>
      </c>
      <c r="D890" s="5">
        <v>0.47916666666666669</v>
      </c>
      <c r="E890" s="5">
        <v>0.54166666666666663</v>
      </c>
      <c r="F890" s="2" t="s">
        <v>9</v>
      </c>
      <c r="G890" s="2" t="s">
        <v>10</v>
      </c>
      <c r="H890" s="2" t="s">
        <v>80</v>
      </c>
      <c r="I890" s="2" t="s">
        <v>81</v>
      </c>
      <c r="J890" s="2">
        <v>104550</v>
      </c>
      <c r="K890" s="2" t="s">
        <v>82</v>
      </c>
      <c r="L890" s="2" t="s">
        <v>18</v>
      </c>
      <c r="M890" t="str">
        <f>K890 &amp; " " &amp; I890</f>
        <v>Pesnel Armand</v>
      </c>
      <c r="Q890" t="str">
        <f t="shared" si="77"/>
        <v>104550apesnel</v>
      </c>
    </row>
    <row r="891" spans="1:17" hidden="1" x14ac:dyDescent="0.4">
      <c r="A891">
        <v>1062</v>
      </c>
      <c r="B891" s="2"/>
      <c r="C891" s="4">
        <v>45908</v>
      </c>
      <c r="D891" s="5">
        <v>0.375</v>
      </c>
      <c r="E891" s="5">
        <v>0.4375</v>
      </c>
      <c r="F891" s="2" t="s">
        <v>9</v>
      </c>
      <c r="G891" s="2" t="s">
        <v>10</v>
      </c>
      <c r="H891" s="2" t="s">
        <v>80</v>
      </c>
      <c r="I891" s="2" t="s">
        <v>81</v>
      </c>
      <c r="J891" s="2">
        <v>102916</v>
      </c>
      <c r="K891" s="2" t="s">
        <v>82</v>
      </c>
      <c r="L891" s="2" t="s">
        <v>18</v>
      </c>
      <c r="M891" t="str">
        <f>K891 &amp; " " &amp; I891</f>
        <v>Pesnel Armand</v>
      </c>
      <c r="Q891" t="str">
        <f t="shared" si="77"/>
        <v>102916apesnel</v>
      </c>
    </row>
    <row r="892" spans="1:17" hidden="1" x14ac:dyDescent="0.4">
      <c r="A892">
        <v>1063</v>
      </c>
      <c r="B892" s="2"/>
      <c r="C892" s="4">
        <v>45909</v>
      </c>
      <c r="D892" s="5">
        <v>0.5</v>
      </c>
      <c r="E892" s="5">
        <v>0.54166666666666663</v>
      </c>
      <c r="F892" s="2" t="s">
        <v>9</v>
      </c>
      <c r="G892" s="2" t="s">
        <v>10</v>
      </c>
      <c r="H892" s="2" t="s">
        <v>59</v>
      </c>
      <c r="I892" s="2" t="s">
        <v>60</v>
      </c>
      <c r="J892" s="2">
        <v>102753</v>
      </c>
      <c r="K892" s="2" t="s">
        <v>61</v>
      </c>
      <c r="L892" s="2" t="s">
        <v>18</v>
      </c>
      <c r="M892" t="str">
        <f>I892 &amp; " " &amp; K892</f>
        <v>Ariane Kerouanton</v>
      </c>
      <c r="Q892" t="str">
        <f t="shared" si="77"/>
        <v>102753akerouanton</v>
      </c>
    </row>
    <row r="893" spans="1:17" hidden="1" x14ac:dyDescent="0.4">
      <c r="A893">
        <v>1064</v>
      </c>
      <c r="B893" s="2"/>
      <c r="C893" s="4">
        <v>45909</v>
      </c>
      <c r="D893" s="5">
        <v>0.5</v>
      </c>
      <c r="E893" s="5">
        <v>0.54166666666666663</v>
      </c>
      <c r="F893" s="2" t="s">
        <v>9</v>
      </c>
      <c r="G893" s="2" t="s">
        <v>10</v>
      </c>
      <c r="H893" s="2" t="s">
        <v>287</v>
      </c>
      <c r="I893" s="2" t="s">
        <v>288</v>
      </c>
      <c r="J893" s="2">
        <v>102753</v>
      </c>
      <c r="K893" s="2" t="s">
        <v>289</v>
      </c>
      <c r="L893" s="2" t="s">
        <v>14</v>
      </c>
      <c r="M893" t="str">
        <f>K893 &amp; " " &amp; I893</f>
        <v>Khalifa Justine</v>
      </c>
      <c r="Q893" t="str">
        <f t="shared" si="77"/>
        <v>102753jkhalifa</v>
      </c>
    </row>
    <row r="894" spans="1:17" hidden="1" x14ac:dyDescent="0.4">
      <c r="A894">
        <v>1065</v>
      </c>
      <c r="B894" s="2"/>
      <c r="C894" s="4">
        <v>45908</v>
      </c>
      <c r="D894" s="5">
        <v>0.66666666666666663</v>
      </c>
      <c r="E894" s="5">
        <v>0.72916666666666663</v>
      </c>
      <c r="F894" s="2" t="s">
        <v>9</v>
      </c>
      <c r="G894" s="2" t="s">
        <v>10</v>
      </c>
      <c r="H894" s="2" t="s">
        <v>83</v>
      </c>
      <c r="I894" s="2" t="s">
        <v>31</v>
      </c>
      <c r="J894" s="2">
        <v>104855</v>
      </c>
      <c r="K894" s="2" t="s">
        <v>84</v>
      </c>
      <c r="L894" s="2" t="s">
        <v>18</v>
      </c>
      <c r="M894" t="str">
        <f>I894 &amp; " " &amp; K894</f>
        <v>Antoine Pichard</v>
      </c>
      <c r="Q894" t="str">
        <f t="shared" si="77"/>
        <v>104855apichard</v>
      </c>
    </row>
    <row r="895" spans="1:17" hidden="1" x14ac:dyDescent="0.4">
      <c r="A895">
        <v>1067</v>
      </c>
      <c r="B895" s="2"/>
      <c r="C895" s="4">
        <v>45908</v>
      </c>
      <c r="D895" s="5">
        <v>0.58333333333333337</v>
      </c>
      <c r="E895" s="5">
        <v>0.64583333333333337</v>
      </c>
      <c r="F895" s="2" t="s">
        <v>9</v>
      </c>
      <c r="G895" s="2" t="s">
        <v>10</v>
      </c>
      <c r="H895" s="2" t="s">
        <v>83</v>
      </c>
      <c r="I895" s="2" t="s">
        <v>31</v>
      </c>
      <c r="J895" s="2">
        <v>104551</v>
      </c>
      <c r="K895" s="2" t="s">
        <v>84</v>
      </c>
      <c r="L895" s="2" t="s">
        <v>18</v>
      </c>
      <c r="M895" t="str">
        <f>K895 &amp; " " &amp; I895</f>
        <v>Pichard Antoine</v>
      </c>
      <c r="Q895" t="str">
        <f t="shared" si="77"/>
        <v>104551apichard</v>
      </c>
    </row>
    <row r="896" spans="1:17" hidden="1" x14ac:dyDescent="0.4">
      <c r="A896">
        <v>1068</v>
      </c>
      <c r="B896" s="2"/>
      <c r="C896" s="4">
        <v>45908</v>
      </c>
      <c r="D896" s="5">
        <v>0.47916666666666669</v>
      </c>
      <c r="E896" s="5">
        <v>0.54166666666666663</v>
      </c>
      <c r="F896" s="2" t="s">
        <v>9</v>
      </c>
      <c r="G896" s="2" t="s">
        <v>10</v>
      </c>
      <c r="H896" s="2" t="s">
        <v>83</v>
      </c>
      <c r="I896" s="2" t="s">
        <v>31</v>
      </c>
      <c r="J896" s="2">
        <v>104550</v>
      </c>
      <c r="K896" s="2" t="s">
        <v>84</v>
      </c>
      <c r="L896" s="2" t="s">
        <v>18</v>
      </c>
      <c r="M896" t="str">
        <f>I896 &amp; " " &amp; K896</f>
        <v>Antoine Pichard</v>
      </c>
      <c r="Q896" t="str">
        <f t="shared" si="77"/>
        <v>104550apichard</v>
      </c>
    </row>
    <row r="897" spans="1:17" hidden="1" x14ac:dyDescent="0.4">
      <c r="A897">
        <v>1069</v>
      </c>
      <c r="B897" s="2"/>
      <c r="C897" s="4">
        <v>45908</v>
      </c>
      <c r="D897" s="5">
        <v>0.375</v>
      </c>
      <c r="E897" s="5">
        <v>0.4375</v>
      </c>
      <c r="F897" s="2" t="s">
        <v>9</v>
      </c>
      <c r="G897" s="2" t="s">
        <v>10</v>
      </c>
      <c r="H897" s="2" t="s">
        <v>83</v>
      </c>
      <c r="I897" s="2" t="s">
        <v>31</v>
      </c>
      <c r="J897" s="2">
        <v>102916</v>
      </c>
      <c r="K897" s="2" t="s">
        <v>84</v>
      </c>
      <c r="L897" s="2" t="s">
        <v>14</v>
      </c>
      <c r="M897" t="str">
        <f t="shared" ref="M897:M902" si="79">K897 &amp; " " &amp; I897</f>
        <v>Pichard Antoine</v>
      </c>
      <c r="Q897" t="str">
        <f t="shared" si="77"/>
        <v>102916apichard</v>
      </c>
    </row>
    <row r="898" spans="1:17" hidden="1" x14ac:dyDescent="0.4">
      <c r="A898">
        <v>1070</v>
      </c>
      <c r="B898" s="2"/>
      <c r="C898" s="4">
        <v>45909</v>
      </c>
      <c r="D898" s="5">
        <v>0.5</v>
      </c>
      <c r="E898" s="5">
        <v>0.54166666666666663</v>
      </c>
      <c r="F898" s="2" t="s">
        <v>9</v>
      </c>
      <c r="G898" s="2" t="s">
        <v>10</v>
      </c>
      <c r="H898" s="2" t="s">
        <v>517</v>
      </c>
      <c r="I898" s="2" t="s">
        <v>518</v>
      </c>
      <c r="J898" s="2">
        <v>102753</v>
      </c>
      <c r="K898" s="2" t="s">
        <v>367</v>
      </c>
      <c r="L898" s="2" t="s">
        <v>14</v>
      </c>
      <c r="M898" t="str">
        <f t="shared" si="79"/>
        <v>Kim Seohyeon</v>
      </c>
      <c r="Q898" t="str">
        <f t="shared" si="77"/>
        <v>102753skim4</v>
      </c>
    </row>
    <row r="899" spans="1:17" hidden="1" x14ac:dyDescent="0.4">
      <c r="A899">
        <v>1071</v>
      </c>
      <c r="B899" s="2"/>
      <c r="C899" s="4">
        <v>45909</v>
      </c>
      <c r="D899" s="5">
        <v>0.5</v>
      </c>
      <c r="E899" s="5">
        <v>0.54166666666666663</v>
      </c>
      <c r="F899" s="2" t="s">
        <v>9</v>
      </c>
      <c r="G899" s="2" t="s">
        <v>10</v>
      </c>
      <c r="H899" s="2" t="s">
        <v>365</v>
      </c>
      <c r="I899" s="2" t="s">
        <v>366</v>
      </c>
      <c r="J899" s="2">
        <v>102753</v>
      </c>
      <c r="K899" s="2" t="s">
        <v>367</v>
      </c>
      <c r="L899" s="2" t="s">
        <v>18</v>
      </c>
      <c r="M899" t="str">
        <f t="shared" si="79"/>
        <v>Kim Minjae</v>
      </c>
      <c r="Q899" t="str">
        <f t="shared" si="77"/>
        <v>102753mkim</v>
      </c>
    </row>
    <row r="900" spans="1:17" hidden="1" x14ac:dyDescent="0.4">
      <c r="A900">
        <v>1073</v>
      </c>
      <c r="B900" s="2"/>
      <c r="C900" s="4">
        <v>45908</v>
      </c>
      <c r="D900" s="5">
        <v>0.58333333333333337</v>
      </c>
      <c r="E900" s="5">
        <v>0.64583333333333337</v>
      </c>
      <c r="F900" s="2" t="s">
        <v>9</v>
      </c>
      <c r="G900" s="2" t="s">
        <v>10</v>
      </c>
      <c r="H900" s="2" t="s">
        <v>389</v>
      </c>
      <c r="I900" s="2" t="s">
        <v>378</v>
      </c>
      <c r="J900" s="2">
        <v>104551</v>
      </c>
      <c r="K900" s="2" t="s">
        <v>390</v>
      </c>
      <c r="L900" s="2" t="s">
        <v>18</v>
      </c>
      <c r="M900" t="str">
        <f t="shared" si="79"/>
        <v>Plait Mélodie</v>
      </c>
      <c r="Q900" t="str">
        <f t="shared" si="77"/>
        <v>104551mplait</v>
      </c>
    </row>
    <row r="901" spans="1:17" hidden="1" x14ac:dyDescent="0.4">
      <c r="A901">
        <v>1074</v>
      </c>
      <c r="B901" s="2"/>
      <c r="C901" s="4">
        <v>45908</v>
      </c>
      <c r="D901" s="5">
        <v>0.47916666666666669</v>
      </c>
      <c r="E901" s="5">
        <v>0.54166666666666663</v>
      </c>
      <c r="F901" s="2" t="s">
        <v>9</v>
      </c>
      <c r="G901" s="2" t="s">
        <v>10</v>
      </c>
      <c r="H901" s="2" t="s">
        <v>389</v>
      </c>
      <c r="I901" s="2" t="s">
        <v>378</v>
      </c>
      <c r="J901" s="2">
        <v>104550</v>
      </c>
      <c r="K901" s="2" t="s">
        <v>390</v>
      </c>
      <c r="L901" s="2" t="s">
        <v>18</v>
      </c>
      <c r="M901" t="str">
        <f t="shared" si="79"/>
        <v>Plait Mélodie</v>
      </c>
      <c r="Q901" t="str">
        <f t="shared" si="77"/>
        <v>104550mplait</v>
      </c>
    </row>
    <row r="902" spans="1:17" hidden="1" x14ac:dyDescent="0.4">
      <c r="A902">
        <v>1075</v>
      </c>
      <c r="B902" s="2"/>
      <c r="C902" s="4">
        <v>45908</v>
      </c>
      <c r="D902" s="5">
        <v>0.375</v>
      </c>
      <c r="E902" s="5">
        <v>0.4375</v>
      </c>
      <c r="F902" s="2" t="s">
        <v>9</v>
      </c>
      <c r="G902" s="2" t="s">
        <v>10</v>
      </c>
      <c r="H902" s="2" t="s">
        <v>389</v>
      </c>
      <c r="I902" s="2" t="s">
        <v>378</v>
      </c>
      <c r="J902" s="2">
        <v>102916</v>
      </c>
      <c r="K902" s="2" t="s">
        <v>390</v>
      </c>
      <c r="L902" s="2" t="s">
        <v>18</v>
      </c>
      <c r="M902" t="str">
        <f t="shared" si="79"/>
        <v>Plait Mélodie</v>
      </c>
      <c r="Q902" t="str">
        <f t="shared" si="77"/>
        <v>102916mplait</v>
      </c>
    </row>
    <row r="903" spans="1:17" hidden="1" x14ac:dyDescent="0.4">
      <c r="A903">
        <v>1076</v>
      </c>
      <c r="B903" s="2"/>
      <c r="C903" s="4">
        <v>45909</v>
      </c>
      <c r="D903" s="5">
        <v>0.5</v>
      </c>
      <c r="E903" s="5">
        <v>0.54166666666666663</v>
      </c>
      <c r="F903" s="2" t="s">
        <v>9</v>
      </c>
      <c r="G903" s="2" t="s">
        <v>10</v>
      </c>
      <c r="H903" s="2" t="s">
        <v>427</v>
      </c>
      <c r="I903" s="2" t="s">
        <v>425</v>
      </c>
      <c r="J903" s="2">
        <v>102753</v>
      </c>
      <c r="K903" s="2" t="s">
        <v>428</v>
      </c>
      <c r="L903" s="2" t="s">
        <v>18</v>
      </c>
      <c r="M903" t="str">
        <f>I903 &amp; " " &amp; K903</f>
        <v>Nils Kittel</v>
      </c>
      <c r="Q903" t="str">
        <f t="shared" si="77"/>
        <v>102753nkittel</v>
      </c>
    </row>
    <row r="904" spans="1:17" hidden="1" x14ac:dyDescent="0.4">
      <c r="A904">
        <v>1077</v>
      </c>
      <c r="B904" s="2"/>
      <c r="C904" s="4">
        <v>45909</v>
      </c>
      <c r="D904" s="5">
        <v>0.5</v>
      </c>
      <c r="E904" s="5">
        <v>0.54166666666666663</v>
      </c>
      <c r="F904" s="2" t="s">
        <v>9</v>
      </c>
      <c r="G904" s="2" t="s">
        <v>10</v>
      </c>
      <c r="H904" s="2" t="s">
        <v>429</v>
      </c>
      <c r="I904" s="2" t="s">
        <v>430</v>
      </c>
      <c r="J904" s="2">
        <v>102753</v>
      </c>
      <c r="K904" s="2" t="s">
        <v>431</v>
      </c>
      <c r="L904" s="2" t="s">
        <v>18</v>
      </c>
      <c r="M904" t="str">
        <f>I904 &amp; " " &amp; K904</f>
        <v>Ninon Lancelot--Mahé</v>
      </c>
      <c r="Q904" t="str">
        <f t="shared" si="77"/>
        <v>102753nlancelotmahe</v>
      </c>
    </row>
    <row r="905" spans="1:17" hidden="1" x14ac:dyDescent="0.4">
      <c r="A905">
        <v>1078</v>
      </c>
      <c r="B905" s="2"/>
      <c r="C905" s="4">
        <v>45908</v>
      </c>
      <c r="D905" s="5">
        <v>0.66666666666666663</v>
      </c>
      <c r="E905" s="5">
        <v>0.72916666666666663</v>
      </c>
      <c r="F905" s="2" t="s">
        <v>9</v>
      </c>
      <c r="G905" s="2" t="s">
        <v>10</v>
      </c>
      <c r="H905" s="2" t="s">
        <v>391</v>
      </c>
      <c r="I905" s="2" t="s">
        <v>392</v>
      </c>
      <c r="J905" s="2">
        <v>104855</v>
      </c>
      <c r="K905" s="2" t="s">
        <v>393</v>
      </c>
      <c r="L905" s="2" t="s">
        <v>18</v>
      </c>
      <c r="M905" t="str">
        <f>I905 &amp; " " &amp; K905</f>
        <v>Morgane Plassard</v>
      </c>
      <c r="Q905" t="str">
        <f t="shared" si="77"/>
        <v>104855mplassard1</v>
      </c>
    </row>
    <row r="906" spans="1:17" hidden="1" x14ac:dyDescent="0.4">
      <c r="A906">
        <v>1080</v>
      </c>
      <c r="B906" s="2"/>
      <c r="C906" s="4">
        <v>45908</v>
      </c>
      <c r="D906" s="5">
        <v>0.58333333333333337</v>
      </c>
      <c r="E906" s="5">
        <v>0.64583333333333337</v>
      </c>
      <c r="F906" s="2" t="s">
        <v>9</v>
      </c>
      <c r="G906" s="2" t="s">
        <v>10</v>
      </c>
      <c r="H906" s="2" t="s">
        <v>391</v>
      </c>
      <c r="I906" s="2" t="s">
        <v>392</v>
      </c>
      <c r="J906" s="2">
        <v>104551</v>
      </c>
      <c r="K906" s="2" t="s">
        <v>393</v>
      </c>
      <c r="L906" s="2" t="s">
        <v>18</v>
      </c>
      <c r="M906" t="str">
        <f>I906 &amp; " " &amp; K906</f>
        <v>Morgane Plassard</v>
      </c>
      <c r="Q906" t="str">
        <f t="shared" si="77"/>
        <v>104551mplassard1</v>
      </c>
    </row>
    <row r="907" spans="1:17" hidden="1" x14ac:dyDescent="0.4">
      <c r="A907">
        <v>1081</v>
      </c>
      <c r="B907" s="2"/>
      <c r="C907" s="4">
        <v>45908</v>
      </c>
      <c r="D907" s="5">
        <v>0.47916666666666669</v>
      </c>
      <c r="E907" s="5">
        <v>0.54166666666666663</v>
      </c>
      <c r="F907" s="2" t="s">
        <v>9</v>
      </c>
      <c r="G907" s="2" t="s">
        <v>10</v>
      </c>
      <c r="H907" s="2" t="s">
        <v>391</v>
      </c>
      <c r="I907" s="2" t="s">
        <v>392</v>
      </c>
      <c r="J907" s="2">
        <v>104550</v>
      </c>
      <c r="K907" s="2" t="s">
        <v>393</v>
      </c>
      <c r="L907" s="2" t="s">
        <v>18</v>
      </c>
      <c r="M907" t="str">
        <f>I907 &amp; " " &amp; K907</f>
        <v>Morgane Plassard</v>
      </c>
      <c r="Q907" t="str">
        <f t="shared" si="77"/>
        <v>104550mplassard1</v>
      </c>
    </row>
    <row r="908" spans="1:17" hidden="1" x14ac:dyDescent="0.4">
      <c r="A908">
        <v>1082</v>
      </c>
      <c r="B908" s="2"/>
      <c r="C908" s="4">
        <v>45908</v>
      </c>
      <c r="D908" s="5">
        <v>0.375</v>
      </c>
      <c r="E908" s="5">
        <v>0.4375</v>
      </c>
      <c r="F908" s="2" t="s">
        <v>9</v>
      </c>
      <c r="G908" s="2" t="s">
        <v>10</v>
      </c>
      <c r="H908" s="2" t="s">
        <v>391</v>
      </c>
      <c r="I908" s="2" t="s">
        <v>392</v>
      </c>
      <c r="J908" s="2">
        <v>102916</v>
      </c>
      <c r="K908" s="2" t="s">
        <v>393</v>
      </c>
      <c r="L908" s="2" t="s">
        <v>18</v>
      </c>
      <c r="M908" t="str">
        <f>K908 &amp; " " &amp; I908</f>
        <v>Plassard Morgane</v>
      </c>
      <c r="Q908" t="str">
        <f t="shared" si="77"/>
        <v>102916mplassard1</v>
      </c>
    </row>
    <row r="909" spans="1:17" hidden="1" x14ac:dyDescent="0.4">
      <c r="A909">
        <v>1083</v>
      </c>
      <c r="B909" s="2"/>
      <c r="C909" s="4">
        <v>45909</v>
      </c>
      <c r="D909" s="5">
        <v>0.5</v>
      </c>
      <c r="E909" s="5">
        <v>0.54166666666666663</v>
      </c>
      <c r="F909" s="2" t="s">
        <v>9</v>
      </c>
      <c r="G909" s="2" t="s">
        <v>10</v>
      </c>
      <c r="H909" s="2" t="s">
        <v>519</v>
      </c>
      <c r="I909" s="2" t="s">
        <v>520</v>
      </c>
      <c r="J909" s="2">
        <v>102753</v>
      </c>
      <c r="K909" s="2" t="s">
        <v>521</v>
      </c>
      <c r="L909" s="2" t="s">
        <v>18</v>
      </c>
      <c r="M909" t="str">
        <f>I909 &amp; " " &amp; K909</f>
        <v>Sacha Laquay--Eudine</v>
      </c>
      <c r="Q909" t="str">
        <f t="shared" si="77"/>
        <v>102753slaquayeudine</v>
      </c>
    </row>
    <row r="910" spans="1:17" hidden="1" x14ac:dyDescent="0.4">
      <c r="A910">
        <v>1084</v>
      </c>
      <c r="B910" s="2"/>
      <c r="C910" s="4">
        <v>45909</v>
      </c>
      <c r="D910" s="5">
        <v>0.5</v>
      </c>
      <c r="E910" s="5">
        <v>0.54166666666666663</v>
      </c>
      <c r="F910" s="2" t="s">
        <v>9</v>
      </c>
      <c r="G910" s="2" t="s">
        <v>10</v>
      </c>
      <c r="H910" s="2" t="s">
        <v>432</v>
      </c>
      <c r="I910" s="2" t="s">
        <v>433</v>
      </c>
      <c r="J910" s="2">
        <v>102753</v>
      </c>
      <c r="K910" s="2" t="s">
        <v>434</v>
      </c>
      <c r="L910" s="2" t="s">
        <v>18</v>
      </c>
      <c r="M910" t="str">
        <f>I910 &amp; " " &amp; K910</f>
        <v>Noémie Lastère</v>
      </c>
      <c r="Q910" t="str">
        <f t="shared" si="77"/>
        <v>102753nlastere</v>
      </c>
    </row>
    <row r="911" spans="1:17" hidden="1" x14ac:dyDescent="0.4">
      <c r="A911">
        <v>1085</v>
      </c>
      <c r="B911" s="2"/>
      <c r="C911" s="4">
        <v>45908</v>
      </c>
      <c r="D911" s="5">
        <v>0.66666666666666663</v>
      </c>
      <c r="E911" s="5">
        <v>0.72916666666666663</v>
      </c>
      <c r="F911" s="2" t="s">
        <v>9</v>
      </c>
      <c r="G911" s="2" t="s">
        <v>10</v>
      </c>
      <c r="H911" s="2" t="s">
        <v>295</v>
      </c>
      <c r="I911" s="2" t="s">
        <v>296</v>
      </c>
      <c r="J911" s="2">
        <v>104855</v>
      </c>
      <c r="K911" s="2" t="s">
        <v>297</v>
      </c>
      <c r="L911" s="2" t="s">
        <v>18</v>
      </c>
      <c r="M911" t="str">
        <f>I911 &amp; " " &amp; K911</f>
        <v>Josserand Poumes</v>
      </c>
      <c r="Q911" t="str">
        <f t="shared" si="77"/>
        <v>104855jpoumes</v>
      </c>
    </row>
    <row r="912" spans="1:17" hidden="1" x14ac:dyDescent="0.4">
      <c r="A912">
        <v>1087</v>
      </c>
      <c r="B912" s="2"/>
      <c r="C912" s="4">
        <v>45908</v>
      </c>
      <c r="D912" s="5">
        <v>0.58333333333333337</v>
      </c>
      <c r="E912" s="5">
        <v>0.64583333333333337</v>
      </c>
      <c r="F912" s="2" t="s">
        <v>9</v>
      </c>
      <c r="G912" s="2" t="s">
        <v>10</v>
      </c>
      <c r="H912" s="2" t="s">
        <v>295</v>
      </c>
      <c r="I912" s="2" t="s">
        <v>296</v>
      </c>
      <c r="J912" s="2">
        <v>104551</v>
      </c>
      <c r="K912" s="2" t="s">
        <v>297</v>
      </c>
      <c r="L912" s="2" t="s">
        <v>18</v>
      </c>
      <c r="M912" t="str">
        <f>I912 &amp; " " &amp; K912</f>
        <v>Josserand Poumes</v>
      </c>
      <c r="Q912" t="str">
        <f t="shared" si="77"/>
        <v>104551jpoumes</v>
      </c>
    </row>
    <row r="913" spans="1:17" hidden="1" x14ac:dyDescent="0.4">
      <c r="A913">
        <v>1088</v>
      </c>
      <c r="B913" s="2"/>
      <c r="C913" s="4">
        <v>45908</v>
      </c>
      <c r="D913" s="5">
        <v>0.47916666666666669</v>
      </c>
      <c r="E913" s="5">
        <v>0.54166666666666663</v>
      </c>
      <c r="F913" s="2" t="s">
        <v>9</v>
      </c>
      <c r="G913" s="2" t="s">
        <v>10</v>
      </c>
      <c r="H913" s="2" t="s">
        <v>295</v>
      </c>
      <c r="I913" s="2" t="s">
        <v>296</v>
      </c>
      <c r="J913" s="2">
        <v>104550</v>
      </c>
      <c r="K913" s="2" t="s">
        <v>297</v>
      </c>
      <c r="L913" s="2" t="s">
        <v>18</v>
      </c>
      <c r="M913" t="str">
        <f>K913 &amp; " " &amp; I913</f>
        <v>Poumes Josserand</v>
      </c>
      <c r="Q913" t="str">
        <f t="shared" si="77"/>
        <v>104550jpoumes</v>
      </c>
    </row>
    <row r="914" spans="1:17" hidden="1" x14ac:dyDescent="0.4">
      <c r="A914">
        <v>1089</v>
      </c>
      <c r="B914" s="2"/>
      <c r="C914" s="4">
        <v>45908</v>
      </c>
      <c r="D914" s="5">
        <v>0.375</v>
      </c>
      <c r="E914" s="5">
        <v>0.4375</v>
      </c>
      <c r="F914" s="2" t="s">
        <v>9</v>
      </c>
      <c r="G914" s="2" t="s">
        <v>10</v>
      </c>
      <c r="H914" s="2" t="s">
        <v>295</v>
      </c>
      <c r="I914" s="2" t="s">
        <v>296</v>
      </c>
      <c r="J914" s="2">
        <v>102916</v>
      </c>
      <c r="K914" s="2" t="s">
        <v>297</v>
      </c>
      <c r="L914" s="2" t="s">
        <v>18</v>
      </c>
      <c r="M914" t="str">
        <f>K914 &amp; " " &amp; I914</f>
        <v>Poumes Josserand</v>
      </c>
      <c r="Q914" t="str">
        <f t="shared" si="77"/>
        <v>102916jpoumes</v>
      </c>
    </row>
    <row r="915" spans="1:17" hidden="1" x14ac:dyDescent="0.4">
      <c r="A915">
        <v>1090</v>
      </c>
      <c r="B915" s="2"/>
      <c r="C915" s="4">
        <v>45909</v>
      </c>
      <c r="D915" s="5">
        <v>0.5</v>
      </c>
      <c r="E915" s="5">
        <v>0.54166666666666663</v>
      </c>
      <c r="F915" s="2" t="s">
        <v>9</v>
      </c>
      <c r="G915" s="2" t="s">
        <v>10</v>
      </c>
      <c r="H915" s="2" t="s">
        <v>134</v>
      </c>
      <c r="I915" s="2" t="s">
        <v>135</v>
      </c>
      <c r="J915" s="2">
        <v>102753</v>
      </c>
      <c r="K915" s="2" t="s">
        <v>136</v>
      </c>
      <c r="L915" s="2" t="s">
        <v>14</v>
      </c>
      <c r="M915" t="str">
        <f>K915 &amp; " " &amp; I915</f>
        <v>Lau Dimitri</v>
      </c>
      <c r="Q915" t="str">
        <f t="shared" ref="Q915:Q968" si="80">J915&amp;H915</f>
        <v>102753dlau</v>
      </c>
    </row>
    <row r="916" spans="1:17" hidden="1" x14ac:dyDescent="0.4">
      <c r="A916">
        <v>1091</v>
      </c>
      <c r="B916" s="2"/>
      <c r="C916" s="4">
        <v>45909</v>
      </c>
      <c r="D916" s="5">
        <v>0.5</v>
      </c>
      <c r="E916" s="5">
        <v>0.54166666666666663</v>
      </c>
      <c r="F916" s="2" t="s">
        <v>9</v>
      </c>
      <c r="G916" s="2" t="s">
        <v>10</v>
      </c>
      <c r="H916" s="2" t="s">
        <v>368</v>
      </c>
      <c r="I916" s="2" t="s">
        <v>369</v>
      </c>
      <c r="J916" s="2">
        <v>102753</v>
      </c>
      <c r="K916" s="2" t="s">
        <v>370</v>
      </c>
      <c r="L916" s="2" t="s">
        <v>18</v>
      </c>
      <c r="M916" t="str">
        <f>I916 &amp; " " &amp; K916</f>
        <v>Maelys Lauriac</v>
      </c>
      <c r="Q916" t="str">
        <f t="shared" si="80"/>
        <v>102753mlauriac</v>
      </c>
    </row>
    <row r="917" spans="1:17" hidden="1" x14ac:dyDescent="0.4">
      <c r="A917">
        <v>1092</v>
      </c>
      <c r="B917" s="2"/>
      <c r="C917" s="4">
        <v>45908</v>
      </c>
      <c r="D917" s="5">
        <v>0.66666666666666663</v>
      </c>
      <c r="E917" s="5">
        <v>0.72916666666666663</v>
      </c>
      <c r="F917" s="2" t="s">
        <v>9</v>
      </c>
      <c r="G917" s="2" t="s">
        <v>10</v>
      </c>
      <c r="H917" s="2" t="s">
        <v>569</v>
      </c>
      <c r="I917" s="2" t="s">
        <v>561</v>
      </c>
      <c r="J917" s="2">
        <v>104855</v>
      </c>
      <c r="K917" s="2" t="s">
        <v>570</v>
      </c>
      <c r="L917" s="2" t="s">
        <v>14</v>
      </c>
      <c r="M917" t="str">
        <f t="shared" ref="M917:M920" si="81">K917 &amp; " " &amp; I917</f>
        <v>Pouyé Thomas</v>
      </c>
      <c r="Q917" t="str">
        <f t="shared" si="80"/>
        <v>104855tpouye</v>
      </c>
    </row>
    <row r="918" spans="1:17" hidden="1" x14ac:dyDescent="0.4">
      <c r="A918">
        <v>1095</v>
      </c>
      <c r="B918" s="2"/>
      <c r="C918" s="4">
        <v>45908</v>
      </c>
      <c r="D918" s="5">
        <v>0.58333333333333337</v>
      </c>
      <c r="E918" s="5">
        <v>0.64583333333333337</v>
      </c>
      <c r="F918" s="2" t="s">
        <v>9</v>
      </c>
      <c r="G918" s="2" t="s">
        <v>10</v>
      </c>
      <c r="H918" s="2" t="s">
        <v>569</v>
      </c>
      <c r="I918" s="2" t="s">
        <v>561</v>
      </c>
      <c r="J918" s="2">
        <v>104551</v>
      </c>
      <c r="K918" s="2" t="s">
        <v>570</v>
      </c>
      <c r="L918" s="2" t="s">
        <v>14</v>
      </c>
      <c r="M918" t="str">
        <f t="shared" si="81"/>
        <v>Pouyé Thomas</v>
      </c>
      <c r="Q918" t="str">
        <f t="shared" si="80"/>
        <v>104551tpouye</v>
      </c>
    </row>
    <row r="919" spans="1:17" hidden="1" x14ac:dyDescent="0.4">
      <c r="A919">
        <v>1096</v>
      </c>
      <c r="B919" s="2"/>
      <c r="C919" s="4">
        <v>45908</v>
      </c>
      <c r="D919" s="5">
        <v>0.47916666666666669</v>
      </c>
      <c r="E919" s="5">
        <v>0.54166666666666663</v>
      </c>
      <c r="F919" s="2" t="s">
        <v>9</v>
      </c>
      <c r="G919" s="2" t="s">
        <v>10</v>
      </c>
      <c r="H919" s="2" t="s">
        <v>569</v>
      </c>
      <c r="I919" s="2" t="s">
        <v>561</v>
      </c>
      <c r="J919" s="2">
        <v>104550</v>
      </c>
      <c r="K919" s="2" t="s">
        <v>570</v>
      </c>
      <c r="L919" s="2" t="s">
        <v>14</v>
      </c>
      <c r="M919" t="str">
        <f t="shared" si="81"/>
        <v>Pouyé Thomas</v>
      </c>
      <c r="Q919" t="str">
        <f t="shared" si="80"/>
        <v>104550tpouye</v>
      </c>
    </row>
    <row r="920" spans="1:17" hidden="1" x14ac:dyDescent="0.4">
      <c r="A920">
        <v>1097</v>
      </c>
      <c r="B920" s="2"/>
      <c r="C920" s="4">
        <v>45908</v>
      </c>
      <c r="D920" s="5">
        <v>0.375</v>
      </c>
      <c r="E920" s="5">
        <v>0.4375</v>
      </c>
      <c r="F920" s="2" t="s">
        <v>9</v>
      </c>
      <c r="G920" s="2" t="s">
        <v>10</v>
      </c>
      <c r="H920" s="2" t="s">
        <v>569</v>
      </c>
      <c r="I920" s="2" t="s">
        <v>561</v>
      </c>
      <c r="J920" s="2">
        <v>102916</v>
      </c>
      <c r="K920" s="2" t="s">
        <v>570</v>
      </c>
      <c r="L920" s="2" t="s">
        <v>14</v>
      </c>
      <c r="M920" t="str">
        <f t="shared" si="81"/>
        <v>Pouyé Thomas</v>
      </c>
      <c r="Q920" t="str">
        <f t="shared" si="80"/>
        <v>102916tpouye</v>
      </c>
    </row>
    <row r="921" spans="1:17" hidden="1" x14ac:dyDescent="0.4">
      <c r="A921">
        <v>1098</v>
      </c>
      <c r="B921" s="2"/>
      <c r="C921" s="4">
        <v>45909</v>
      </c>
      <c r="D921" s="5">
        <v>0.5</v>
      </c>
      <c r="E921" s="5">
        <v>0.54166666666666663</v>
      </c>
      <c r="F921" s="2" t="s">
        <v>9</v>
      </c>
      <c r="G921" s="2" t="s">
        <v>10</v>
      </c>
      <c r="H921" s="2" t="s">
        <v>325</v>
      </c>
      <c r="I921" s="2" t="s">
        <v>313</v>
      </c>
      <c r="J921" s="2">
        <v>102753</v>
      </c>
      <c r="K921" s="2" t="s">
        <v>326</v>
      </c>
      <c r="L921" s="2" t="s">
        <v>18</v>
      </c>
      <c r="M921" t="str">
        <f>I921 &amp; " " &amp; K921</f>
        <v>Louis Le Lay--Jardin</v>
      </c>
      <c r="Q921" t="str">
        <f t="shared" si="80"/>
        <v>102753llelayjardin</v>
      </c>
    </row>
    <row r="922" spans="1:17" hidden="1" x14ac:dyDescent="0.4">
      <c r="A922">
        <v>1099</v>
      </c>
      <c r="B922" s="2"/>
      <c r="C922" s="7">
        <v>45909</v>
      </c>
      <c r="D922" s="8">
        <v>0.5</v>
      </c>
      <c r="E922" s="8">
        <v>0.54166666666666663</v>
      </c>
      <c r="F922" s="2" t="s">
        <v>9</v>
      </c>
      <c r="G922" s="2" t="s">
        <v>10</v>
      </c>
      <c r="H922" s="9" t="s">
        <v>522</v>
      </c>
      <c r="I922" s="9" t="s">
        <v>523</v>
      </c>
      <c r="J922" s="9">
        <v>102753</v>
      </c>
      <c r="K922" s="9" t="s">
        <v>524</v>
      </c>
      <c r="L922" s="9" t="s">
        <v>18</v>
      </c>
      <c r="M922" s="6" t="str">
        <f>I922 &amp; " " &amp; K922</f>
        <v>Sarah Leblanc - - La Rosa</v>
      </c>
      <c r="Q922" t="str">
        <f t="shared" si="80"/>
        <v>102753sleblanclarosa</v>
      </c>
    </row>
    <row r="923" spans="1:17" hidden="1" x14ac:dyDescent="0.4">
      <c r="A923">
        <v>1100</v>
      </c>
      <c r="B923" s="2"/>
      <c r="C923" s="4">
        <v>45908</v>
      </c>
      <c r="D923" s="5">
        <v>0.66666666666666663</v>
      </c>
      <c r="E923" s="5">
        <v>0.72916666666666663</v>
      </c>
      <c r="F923" s="2" t="s">
        <v>9</v>
      </c>
      <c r="G923" s="2" t="s">
        <v>10</v>
      </c>
      <c r="H923" s="2" t="s">
        <v>207</v>
      </c>
      <c r="I923" s="2" t="s">
        <v>191</v>
      </c>
      <c r="J923" s="2">
        <v>104855</v>
      </c>
      <c r="K923" s="2" t="s">
        <v>208</v>
      </c>
      <c r="L923" s="2" t="s">
        <v>18</v>
      </c>
      <c r="M923" t="str">
        <f>I923 &amp; " " &amp; K923</f>
        <v>Félix Prat</v>
      </c>
      <c r="Q923" t="str">
        <f t="shared" si="80"/>
        <v>104855fprat</v>
      </c>
    </row>
    <row r="924" spans="1:17" hidden="1" x14ac:dyDescent="0.4">
      <c r="A924">
        <v>1102</v>
      </c>
      <c r="B924" s="2"/>
      <c r="C924" s="4">
        <v>45908</v>
      </c>
      <c r="D924" s="5">
        <v>0.58333333333333337</v>
      </c>
      <c r="E924" s="5">
        <v>0.64583333333333337</v>
      </c>
      <c r="F924" s="2" t="s">
        <v>9</v>
      </c>
      <c r="G924" s="2" t="s">
        <v>10</v>
      </c>
      <c r="H924" s="2" t="s">
        <v>207</v>
      </c>
      <c r="I924" s="2" t="s">
        <v>191</v>
      </c>
      <c r="J924" s="2">
        <v>104551</v>
      </c>
      <c r="K924" s="2" t="s">
        <v>208</v>
      </c>
      <c r="L924" s="2" t="s">
        <v>18</v>
      </c>
      <c r="M924" t="str">
        <f>I924 &amp; " " &amp; K924</f>
        <v>Félix Prat</v>
      </c>
      <c r="Q924" t="str">
        <f t="shared" si="80"/>
        <v>104551fprat</v>
      </c>
    </row>
    <row r="925" spans="1:17" hidden="1" x14ac:dyDescent="0.4">
      <c r="A925">
        <v>1103</v>
      </c>
      <c r="B925" s="2"/>
      <c r="C925" s="4">
        <v>45908</v>
      </c>
      <c r="D925" s="5">
        <v>0.47916666666666669</v>
      </c>
      <c r="E925" s="5">
        <v>0.54166666666666663</v>
      </c>
      <c r="F925" s="2" t="s">
        <v>9</v>
      </c>
      <c r="G925" s="2" t="s">
        <v>10</v>
      </c>
      <c r="H925" s="2" t="s">
        <v>207</v>
      </c>
      <c r="I925" s="2" t="s">
        <v>191</v>
      </c>
      <c r="J925" s="2">
        <v>104550</v>
      </c>
      <c r="K925" s="2" t="s">
        <v>208</v>
      </c>
      <c r="L925" s="2" t="s">
        <v>18</v>
      </c>
      <c r="M925" t="str">
        <f>I925 &amp; " " &amp; K925</f>
        <v>Félix Prat</v>
      </c>
      <c r="Q925" t="str">
        <f t="shared" si="80"/>
        <v>104550fprat</v>
      </c>
    </row>
    <row r="926" spans="1:17" hidden="1" x14ac:dyDescent="0.4">
      <c r="A926">
        <v>1104</v>
      </c>
      <c r="B926" s="2"/>
      <c r="C926" s="4">
        <v>45908</v>
      </c>
      <c r="D926" s="5">
        <v>0.375</v>
      </c>
      <c r="E926" s="5">
        <v>0.4375</v>
      </c>
      <c r="F926" s="2" t="s">
        <v>9</v>
      </c>
      <c r="G926" s="2" t="s">
        <v>10</v>
      </c>
      <c r="H926" s="2" t="s">
        <v>207</v>
      </c>
      <c r="I926" s="2" t="s">
        <v>191</v>
      </c>
      <c r="J926" s="2">
        <v>102916</v>
      </c>
      <c r="K926" s="2" t="s">
        <v>208</v>
      </c>
      <c r="L926" s="2" t="s">
        <v>18</v>
      </c>
      <c r="M926" t="str">
        <f>K926 &amp; " " &amp; I926</f>
        <v>Prat Félix</v>
      </c>
      <c r="Q926" t="str">
        <f t="shared" si="80"/>
        <v>102916fprat</v>
      </c>
    </row>
    <row r="927" spans="1:17" hidden="1" x14ac:dyDescent="0.4">
      <c r="A927">
        <v>1105</v>
      </c>
      <c r="B927" s="2"/>
      <c r="C927" s="4">
        <v>45909</v>
      </c>
      <c r="D927" s="5">
        <v>0.5</v>
      </c>
      <c r="E927" s="5">
        <v>0.54166666666666663</v>
      </c>
      <c r="F927" s="2" t="s">
        <v>9</v>
      </c>
      <c r="G927" s="2" t="s">
        <v>10</v>
      </c>
      <c r="H927" s="2" t="s">
        <v>499</v>
      </c>
      <c r="I927" s="2" t="s">
        <v>500</v>
      </c>
      <c r="J927" s="2">
        <v>102753</v>
      </c>
      <c r="K927" s="2" t="s">
        <v>501</v>
      </c>
      <c r="L927" s="2" t="s">
        <v>18</v>
      </c>
      <c r="M927" t="str">
        <f>I927 &amp; " " &amp; K927</f>
        <v>Robin Leblond</v>
      </c>
      <c r="Q927" t="str">
        <f t="shared" si="80"/>
        <v>102753rleblond</v>
      </c>
    </row>
    <row r="928" spans="1:17" hidden="1" x14ac:dyDescent="0.4">
      <c r="A928">
        <v>1106</v>
      </c>
      <c r="B928" s="2"/>
      <c r="C928" s="4">
        <v>45909</v>
      </c>
      <c r="D928" s="5">
        <v>0.5</v>
      </c>
      <c r="E928" s="5">
        <v>0.54166666666666663</v>
      </c>
      <c r="F928" s="2" t="s">
        <v>9</v>
      </c>
      <c r="G928" s="2" t="s">
        <v>10</v>
      </c>
      <c r="H928" s="2" t="s">
        <v>502</v>
      </c>
      <c r="I928" s="2" t="s">
        <v>503</v>
      </c>
      <c r="J928" s="2">
        <v>102753</v>
      </c>
      <c r="K928" s="2" t="s">
        <v>504</v>
      </c>
      <c r="L928" s="2" t="s">
        <v>18</v>
      </c>
      <c r="M928" t="str">
        <f>I928 &amp; " " &amp; K928</f>
        <v>Romane Leleu</v>
      </c>
      <c r="Q928" t="str">
        <f t="shared" si="80"/>
        <v>102753rleleu1</v>
      </c>
    </row>
    <row r="929" spans="1:17" hidden="1" x14ac:dyDescent="0.4">
      <c r="A929">
        <v>1107</v>
      </c>
      <c r="B929" s="2"/>
      <c r="C929" s="4">
        <v>45908</v>
      </c>
      <c r="D929" s="5">
        <v>0.66666666666666663</v>
      </c>
      <c r="E929" s="5">
        <v>0.72916666666666663</v>
      </c>
      <c r="F929" s="2" t="s">
        <v>9</v>
      </c>
      <c r="G929" s="2" t="s">
        <v>10</v>
      </c>
      <c r="H929" s="2" t="s">
        <v>172</v>
      </c>
      <c r="I929" s="2" t="s">
        <v>173</v>
      </c>
      <c r="J929" s="2">
        <v>104855</v>
      </c>
      <c r="K929" s="2" t="s">
        <v>174</v>
      </c>
      <c r="L929" s="2" t="s">
        <v>18</v>
      </c>
      <c r="M929" t="str">
        <f>K929 &amp; " " &amp; I929</f>
        <v>Rall Étienne</v>
      </c>
      <c r="Q929" t="str">
        <f t="shared" si="80"/>
        <v>104855erall</v>
      </c>
    </row>
    <row r="930" spans="1:17" hidden="1" x14ac:dyDescent="0.4">
      <c r="A930">
        <v>1109</v>
      </c>
      <c r="B930" s="2"/>
      <c r="C930" s="4">
        <v>45908</v>
      </c>
      <c r="D930" s="5">
        <v>0.58333333333333337</v>
      </c>
      <c r="E930" s="5">
        <v>0.64583333333333337</v>
      </c>
      <c r="F930" s="2" t="s">
        <v>9</v>
      </c>
      <c r="G930" s="2" t="s">
        <v>10</v>
      </c>
      <c r="H930" s="2" t="s">
        <v>172</v>
      </c>
      <c r="I930" s="2" t="s">
        <v>173</v>
      </c>
      <c r="J930" s="2">
        <v>104551</v>
      </c>
      <c r="K930" s="2" t="s">
        <v>174</v>
      </c>
      <c r="L930" s="2" t="s">
        <v>18</v>
      </c>
      <c r="M930" t="str">
        <f>K930 &amp; " " &amp; I930</f>
        <v>Rall Étienne</v>
      </c>
      <c r="Q930" t="str">
        <f t="shared" si="80"/>
        <v>104551erall</v>
      </c>
    </row>
    <row r="931" spans="1:17" hidden="1" x14ac:dyDescent="0.4">
      <c r="A931">
        <v>1110</v>
      </c>
      <c r="B931" s="2"/>
      <c r="C931" s="4">
        <v>45908</v>
      </c>
      <c r="D931" s="5">
        <v>0.47916666666666669</v>
      </c>
      <c r="E931" s="5">
        <v>0.54166666666666663</v>
      </c>
      <c r="F931" s="2" t="s">
        <v>9</v>
      </c>
      <c r="G931" s="2" t="s">
        <v>10</v>
      </c>
      <c r="H931" s="2" t="s">
        <v>172</v>
      </c>
      <c r="I931" s="2" t="s">
        <v>173</v>
      </c>
      <c r="J931" s="2">
        <v>104550</v>
      </c>
      <c r="K931" s="2" t="s">
        <v>174</v>
      </c>
      <c r="L931" s="2" t="s">
        <v>18</v>
      </c>
      <c r="M931" t="str">
        <f>I931 &amp; " " &amp; K931</f>
        <v>Étienne Rall</v>
      </c>
      <c r="Q931" t="str">
        <f t="shared" si="80"/>
        <v>104550erall</v>
      </c>
    </row>
    <row r="932" spans="1:17" hidden="1" x14ac:dyDescent="0.4">
      <c r="A932">
        <v>1111</v>
      </c>
      <c r="B932" s="2"/>
      <c r="C932" s="4">
        <v>45908</v>
      </c>
      <c r="D932" s="5">
        <v>0.375</v>
      </c>
      <c r="E932" s="5">
        <v>0.4375</v>
      </c>
      <c r="F932" s="2" t="s">
        <v>9</v>
      </c>
      <c r="G932" s="2" t="s">
        <v>10</v>
      </c>
      <c r="H932" s="2" t="s">
        <v>172</v>
      </c>
      <c r="I932" s="2" t="s">
        <v>173</v>
      </c>
      <c r="J932" s="2">
        <v>102916</v>
      </c>
      <c r="K932" s="2" t="s">
        <v>174</v>
      </c>
      <c r="L932" s="2" t="s">
        <v>14</v>
      </c>
      <c r="M932" t="str">
        <f>K932 &amp; " " &amp; I932</f>
        <v>Rall Étienne</v>
      </c>
      <c r="Q932" t="str">
        <f t="shared" si="80"/>
        <v>102916erall</v>
      </c>
    </row>
    <row r="933" spans="1:17" hidden="1" x14ac:dyDescent="0.4">
      <c r="A933">
        <v>1112</v>
      </c>
      <c r="B933" s="2"/>
      <c r="C933" s="4">
        <v>45909</v>
      </c>
      <c r="D933" s="5">
        <v>0.5</v>
      </c>
      <c r="E933" s="5">
        <v>0.54166666666666663</v>
      </c>
      <c r="F933" s="2" t="s">
        <v>9</v>
      </c>
      <c r="G933" s="2" t="s">
        <v>10</v>
      </c>
      <c r="H933" s="2" t="s">
        <v>566</v>
      </c>
      <c r="I933" s="2" t="s">
        <v>567</v>
      </c>
      <c r="J933" s="2">
        <v>102753</v>
      </c>
      <c r="K933" s="2" t="s">
        <v>568</v>
      </c>
      <c r="L933" s="2" t="s">
        <v>18</v>
      </c>
      <c r="M933" t="str">
        <f>I933 &amp; " " &amp; K933</f>
        <v>Théo Lemaire</v>
      </c>
      <c r="Q933" t="str">
        <f t="shared" si="80"/>
        <v>102753tlemaire</v>
      </c>
    </row>
    <row r="934" spans="1:17" hidden="1" x14ac:dyDescent="0.4">
      <c r="A934">
        <v>1113</v>
      </c>
      <c r="B934" s="2"/>
      <c r="C934" s="4">
        <v>45909</v>
      </c>
      <c r="D934" s="5">
        <v>0.5</v>
      </c>
      <c r="E934" s="5">
        <v>0.54166666666666663</v>
      </c>
      <c r="F934" s="2" t="s">
        <v>9</v>
      </c>
      <c r="G934" s="2" t="s">
        <v>10</v>
      </c>
      <c r="H934" s="2" t="s">
        <v>264</v>
      </c>
      <c r="I934" s="2" t="s">
        <v>262</v>
      </c>
      <c r="J934" s="2">
        <v>102753</v>
      </c>
      <c r="K934" s="2" t="s">
        <v>265</v>
      </c>
      <c r="L934" s="2" t="s">
        <v>18</v>
      </c>
      <c r="M934" t="str">
        <f>I934 &amp; " " &amp; K934</f>
        <v>Jean-Baptiste Lemoine</v>
      </c>
      <c r="Q934" t="str">
        <f t="shared" si="80"/>
        <v>102753jblemoine</v>
      </c>
    </row>
    <row r="935" spans="1:17" hidden="1" x14ac:dyDescent="0.4">
      <c r="A935">
        <v>1114</v>
      </c>
      <c r="B935" s="2"/>
      <c r="C935" s="4">
        <v>45908</v>
      </c>
      <c r="D935" s="5">
        <v>0.66666666666666663</v>
      </c>
      <c r="E935" s="5">
        <v>0.72916666666666663</v>
      </c>
      <c r="F935" s="2" t="s">
        <v>9</v>
      </c>
      <c r="G935" s="2" t="s">
        <v>10</v>
      </c>
      <c r="H935" s="2" t="s">
        <v>137</v>
      </c>
      <c r="I935" s="2" t="s">
        <v>138</v>
      </c>
      <c r="J935" s="2">
        <v>104855</v>
      </c>
      <c r="K935" s="2" t="s">
        <v>139</v>
      </c>
      <c r="L935" s="2" t="s">
        <v>14</v>
      </c>
      <c r="M935" t="str">
        <f>K935 &amp; " " &amp; I935</f>
        <v>Rashdan Dani</v>
      </c>
      <c r="Q935" t="str">
        <f t="shared" si="80"/>
        <v>104855drashdan</v>
      </c>
    </row>
    <row r="936" spans="1:17" hidden="1" x14ac:dyDescent="0.4">
      <c r="A936">
        <v>1116</v>
      </c>
      <c r="B936" s="2"/>
      <c r="C936" s="4">
        <v>45908</v>
      </c>
      <c r="D936" s="5">
        <v>0.58333333333333337</v>
      </c>
      <c r="E936" s="5">
        <v>0.64583333333333337</v>
      </c>
      <c r="F936" s="2" t="s">
        <v>9</v>
      </c>
      <c r="G936" s="2" t="s">
        <v>10</v>
      </c>
      <c r="H936" s="2" t="s">
        <v>137</v>
      </c>
      <c r="I936" s="2" t="s">
        <v>138</v>
      </c>
      <c r="J936" s="2">
        <v>104551</v>
      </c>
      <c r="K936" s="2" t="s">
        <v>139</v>
      </c>
      <c r="L936" s="2" t="s">
        <v>14</v>
      </c>
      <c r="M936" t="str">
        <f>K936 &amp; " " &amp; I936</f>
        <v>Rashdan Dani</v>
      </c>
      <c r="Q936" t="str">
        <f t="shared" si="80"/>
        <v>104551drashdan</v>
      </c>
    </row>
    <row r="937" spans="1:17" hidden="1" x14ac:dyDescent="0.4">
      <c r="A937">
        <v>1117</v>
      </c>
      <c r="B937" s="2"/>
      <c r="C937" s="4">
        <v>45908</v>
      </c>
      <c r="D937" s="5">
        <v>0.47916666666666669</v>
      </c>
      <c r="E937" s="5">
        <v>0.54166666666666663</v>
      </c>
      <c r="F937" s="2" t="s">
        <v>9</v>
      </c>
      <c r="G937" s="2" t="s">
        <v>10</v>
      </c>
      <c r="H937" s="2" t="s">
        <v>137</v>
      </c>
      <c r="I937" s="2" t="s">
        <v>138</v>
      </c>
      <c r="J937" s="2">
        <v>104550</v>
      </c>
      <c r="K937" s="2" t="s">
        <v>139</v>
      </c>
      <c r="L937" s="2" t="s">
        <v>14</v>
      </c>
      <c r="M937" t="str">
        <f>K937 &amp; " " &amp; I937</f>
        <v>Rashdan Dani</v>
      </c>
      <c r="Q937" t="str">
        <f t="shared" si="80"/>
        <v>104550drashdan</v>
      </c>
    </row>
    <row r="938" spans="1:17" hidden="1" x14ac:dyDescent="0.4">
      <c r="A938">
        <v>1118</v>
      </c>
      <c r="B938" s="2"/>
      <c r="C938" s="4">
        <v>45908</v>
      </c>
      <c r="D938" s="5">
        <v>0.375</v>
      </c>
      <c r="E938" s="5">
        <v>0.4375</v>
      </c>
      <c r="F938" s="2" t="s">
        <v>9</v>
      </c>
      <c r="G938" s="2" t="s">
        <v>10</v>
      </c>
      <c r="H938" s="2" t="s">
        <v>137</v>
      </c>
      <c r="I938" s="2" t="s">
        <v>138</v>
      </c>
      <c r="J938" s="2">
        <v>102916</v>
      </c>
      <c r="K938" s="2" t="s">
        <v>139</v>
      </c>
      <c r="L938" s="2" t="s">
        <v>14</v>
      </c>
      <c r="M938" t="str">
        <f>K938 &amp; " " &amp; I938</f>
        <v>Rashdan Dani</v>
      </c>
      <c r="Q938" t="str">
        <f t="shared" si="80"/>
        <v>102916drashdan</v>
      </c>
    </row>
    <row r="939" spans="1:17" hidden="1" x14ac:dyDescent="0.4">
      <c r="A939">
        <v>1119</v>
      </c>
      <c r="B939" s="2"/>
      <c r="C939" s="4">
        <v>45909</v>
      </c>
      <c r="D939" s="5">
        <v>0.5</v>
      </c>
      <c r="E939" s="5">
        <v>0.54166666666666663</v>
      </c>
      <c r="F939" s="2" t="s">
        <v>9</v>
      </c>
      <c r="G939" s="2" t="s">
        <v>10</v>
      </c>
      <c r="H939" s="2" t="s">
        <v>327</v>
      </c>
      <c r="I939" s="2" t="s">
        <v>328</v>
      </c>
      <c r="J939" s="2">
        <v>102753</v>
      </c>
      <c r="K939" s="2" t="s">
        <v>329</v>
      </c>
      <c r="L939" s="2" t="s">
        <v>18</v>
      </c>
      <c r="M939" t="str">
        <f>I939 &amp; " " &amp; K939</f>
        <v>Lior Leneman</v>
      </c>
      <c r="Q939" t="str">
        <f t="shared" si="80"/>
        <v>102753lleneman</v>
      </c>
    </row>
    <row r="940" spans="1:17" hidden="1" x14ac:dyDescent="0.4">
      <c r="A940">
        <v>1120</v>
      </c>
      <c r="B940" s="2"/>
      <c r="C940" s="4">
        <v>45909</v>
      </c>
      <c r="D940" s="5">
        <v>0.5</v>
      </c>
      <c r="E940" s="5">
        <v>0.54166666666666663</v>
      </c>
      <c r="F940" s="2" t="s">
        <v>9</v>
      </c>
      <c r="G940" s="2" t="s">
        <v>10</v>
      </c>
      <c r="H940" s="2" t="s">
        <v>163</v>
      </c>
      <c r="I940" s="2" t="s">
        <v>164</v>
      </c>
      <c r="J940" s="2">
        <v>102753</v>
      </c>
      <c r="K940" s="2" t="s">
        <v>165</v>
      </c>
      <c r="L940" s="2" t="s">
        <v>18</v>
      </c>
      <c r="M940" t="str">
        <f>I940 &amp; " " &amp; K940</f>
        <v>Elvire Leroux</v>
      </c>
      <c r="Q940" t="str">
        <f t="shared" si="80"/>
        <v>102753eleroux</v>
      </c>
    </row>
    <row r="941" spans="1:17" hidden="1" x14ac:dyDescent="0.4">
      <c r="A941">
        <v>1121</v>
      </c>
      <c r="B941" s="2"/>
      <c r="C941" s="4">
        <v>45908</v>
      </c>
      <c r="D941" s="5">
        <v>0.66666666666666663</v>
      </c>
      <c r="E941" s="5">
        <v>0.72916666666666663</v>
      </c>
      <c r="F941" s="2" t="s">
        <v>9</v>
      </c>
      <c r="G941" s="2" t="s">
        <v>10</v>
      </c>
      <c r="H941" s="2" t="s">
        <v>85</v>
      </c>
      <c r="I941" s="2" t="s">
        <v>52</v>
      </c>
      <c r="J941" s="2">
        <v>104855</v>
      </c>
      <c r="K941" s="2" t="s">
        <v>86</v>
      </c>
      <c r="L941" s="2" t="s">
        <v>18</v>
      </c>
      <c r="M941" t="str">
        <f t="shared" ref="M941:M946" si="82">K941 &amp; " " &amp; I941</f>
        <v>Rauline Adrien</v>
      </c>
      <c r="Q941" t="str">
        <f t="shared" si="80"/>
        <v>104855arauline</v>
      </c>
    </row>
    <row r="942" spans="1:17" hidden="1" x14ac:dyDescent="0.4">
      <c r="A942">
        <v>1123</v>
      </c>
      <c r="B942" s="2"/>
      <c r="C942" s="4">
        <v>45908</v>
      </c>
      <c r="D942" s="5">
        <v>0.58333333333333337</v>
      </c>
      <c r="E942" s="5">
        <v>0.64583333333333337</v>
      </c>
      <c r="F942" s="2" t="s">
        <v>9</v>
      </c>
      <c r="G942" s="2" t="s">
        <v>10</v>
      </c>
      <c r="H942" s="2" t="s">
        <v>85</v>
      </c>
      <c r="I942" s="2" t="s">
        <v>52</v>
      </c>
      <c r="J942" s="2">
        <v>104551</v>
      </c>
      <c r="K942" s="2" t="s">
        <v>86</v>
      </c>
      <c r="L942" s="2" t="s">
        <v>18</v>
      </c>
      <c r="M942" t="str">
        <f t="shared" si="82"/>
        <v>Rauline Adrien</v>
      </c>
      <c r="Q942" t="str">
        <f t="shared" si="80"/>
        <v>104551arauline</v>
      </c>
    </row>
    <row r="943" spans="1:17" hidden="1" x14ac:dyDescent="0.4">
      <c r="A943">
        <v>1124</v>
      </c>
      <c r="B943" s="2"/>
      <c r="C943" s="4">
        <v>45908</v>
      </c>
      <c r="D943" s="5">
        <v>0.47916666666666669</v>
      </c>
      <c r="E943" s="5">
        <v>0.54166666666666663</v>
      </c>
      <c r="F943" s="2" t="s">
        <v>9</v>
      </c>
      <c r="G943" s="2" t="s">
        <v>10</v>
      </c>
      <c r="H943" s="2" t="s">
        <v>85</v>
      </c>
      <c r="I943" s="2" t="s">
        <v>52</v>
      </c>
      <c r="J943" s="2">
        <v>104550</v>
      </c>
      <c r="K943" s="2" t="s">
        <v>86</v>
      </c>
      <c r="L943" s="2" t="s">
        <v>18</v>
      </c>
      <c r="M943" t="str">
        <f t="shared" si="82"/>
        <v>Rauline Adrien</v>
      </c>
      <c r="Q943" t="str">
        <f t="shared" si="80"/>
        <v>104550arauline</v>
      </c>
    </row>
    <row r="944" spans="1:17" hidden="1" x14ac:dyDescent="0.4">
      <c r="A944">
        <v>1125</v>
      </c>
      <c r="B944" s="2"/>
      <c r="C944" s="4">
        <v>45908</v>
      </c>
      <c r="D944" s="5">
        <v>0.375</v>
      </c>
      <c r="E944" s="5">
        <v>0.4375</v>
      </c>
      <c r="F944" s="2" t="s">
        <v>9</v>
      </c>
      <c r="G944" s="2" t="s">
        <v>10</v>
      </c>
      <c r="H944" s="2" t="s">
        <v>85</v>
      </c>
      <c r="I944" s="2" t="s">
        <v>52</v>
      </c>
      <c r="J944" s="2">
        <v>102916</v>
      </c>
      <c r="K944" s="2" t="s">
        <v>86</v>
      </c>
      <c r="L944" s="2" t="s">
        <v>18</v>
      </c>
      <c r="M944" t="str">
        <f t="shared" si="82"/>
        <v>Rauline Adrien</v>
      </c>
      <c r="Q944" t="str">
        <f t="shared" si="80"/>
        <v>102916arauline</v>
      </c>
    </row>
    <row r="945" spans="1:17" hidden="1" x14ac:dyDescent="0.4">
      <c r="A945">
        <v>1126</v>
      </c>
      <c r="B945" s="2"/>
      <c r="C945" s="4">
        <v>45909</v>
      </c>
      <c r="D945" s="5">
        <v>0.5</v>
      </c>
      <c r="E945" s="5">
        <v>0.54166666666666663</v>
      </c>
      <c r="F945" s="2" t="s">
        <v>9</v>
      </c>
      <c r="G945" s="2" t="s">
        <v>10</v>
      </c>
      <c r="H945" s="2" t="s">
        <v>601</v>
      </c>
      <c r="I945" s="2" t="s">
        <v>602</v>
      </c>
      <c r="J945" s="2">
        <v>102753</v>
      </c>
      <c r="K945" s="2" t="s">
        <v>603</v>
      </c>
      <c r="L945" s="2" t="s">
        <v>14</v>
      </c>
      <c r="M945" t="str">
        <f t="shared" si="82"/>
        <v>Li Yaokun</v>
      </c>
      <c r="Q945" t="str">
        <f t="shared" si="80"/>
        <v>102753yli2</v>
      </c>
    </row>
    <row r="946" spans="1:17" hidden="1" x14ac:dyDescent="0.4">
      <c r="A946">
        <v>1127</v>
      </c>
      <c r="B946" s="2"/>
      <c r="C946" s="4">
        <v>45909</v>
      </c>
      <c r="D946" s="5">
        <v>0.5</v>
      </c>
      <c r="E946" s="5">
        <v>0.54166666666666663</v>
      </c>
      <c r="F946" s="2" t="s">
        <v>9</v>
      </c>
      <c r="G946" s="2" t="s">
        <v>10</v>
      </c>
      <c r="H946" s="2" t="s">
        <v>525</v>
      </c>
      <c r="I946" s="2" t="s">
        <v>526</v>
      </c>
      <c r="J946" s="2">
        <v>102753</v>
      </c>
      <c r="K946" s="2" t="s">
        <v>527</v>
      </c>
      <c r="L946" s="2" t="s">
        <v>18</v>
      </c>
      <c r="M946" t="str">
        <f t="shared" si="82"/>
        <v>Lim Skylar</v>
      </c>
      <c r="Q946" t="str">
        <f t="shared" si="80"/>
        <v>102753slim</v>
      </c>
    </row>
    <row r="947" spans="1:17" hidden="1" x14ac:dyDescent="0.4">
      <c r="A947">
        <v>1128</v>
      </c>
      <c r="B947" s="2"/>
      <c r="C947" s="4">
        <v>45908</v>
      </c>
      <c r="D947" s="5">
        <v>0.66666666666666663</v>
      </c>
      <c r="E947" s="5">
        <v>0.72916666666666663</v>
      </c>
      <c r="F947" s="2" t="s">
        <v>9</v>
      </c>
      <c r="G947" s="2" t="s">
        <v>10</v>
      </c>
      <c r="H947" s="2" t="s">
        <v>175</v>
      </c>
      <c r="I947" s="2" t="s">
        <v>176</v>
      </c>
      <c r="J947" s="2">
        <v>104855</v>
      </c>
      <c r="K947" s="2" t="s">
        <v>177</v>
      </c>
      <c r="L947" s="2" t="s">
        <v>18</v>
      </c>
      <c r="M947" t="str">
        <f>I947 &amp; " " &amp; K947</f>
        <v>Emile Rebuschi</v>
      </c>
      <c r="Q947" t="str">
        <f t="shared" si="80"/>
        <v>104855erebuschi</v>
      </c>
    </row>
    <row r="948" spans="1:17" hidden="1" x14ac:dyDescent="0.4">
      <c r="A948">
        <v>1130</v>
      </c>
      <c r="B948" s="2"/>
      <c r="C948" s="4">
        <v>45908</v>
      </c>
      <c r="D948" s="5">
        <v>0.58333333333333337</v>
      </c>
      <c r="E948" s="5">
        <v>0.64583333333333337</v>
      </c>
      <c r="F948" s="2" t="s">
        <v>9</v>
      </c>
      <c r="G948" s="2" t="s">
        <v>10</v>
      </c>
      <c r="H948" s="2" t="s">
        <v>175</v>
      </c>
      <c r="I948" s="2" t="s">
        <v>176</v>
      </c>
      <c r="J948" s="2">
        <v>104551</v>
      </c>
      <c r="K948" s="2" t="s">
        <v>177</v>
      </c>
      <c r="L948" s="2" t="s">
        <v>18</v>
      </c>
      <c r="M948" t="str">
        <f>I948 &amp; " " &amp; K948</f>
        <v>Emile Rebuschi</v>
      </c>
      <c r="Q948" t="str">
        <f t="shared" si="80"/>
        <v>104551erebuschi</v>
      </c>
    </row>
    <row r="949" spans="1:17" hidden="1" x14ac:dyDescent="0.4">
      <c r="A949">
        <v>1131</v>
      </c>
      <c r="B949" s="2"/>
      <c r="C949" s="4">
        <v>45908</v>
      </c>
      <c r="D949" s="5">
        <v>0.47916666666666669</v>
      </c>
      <c r="E949" s="5">
        <v>0.54166666666666663</v>
      </c>
      <c r="F949" s="2" t="s">
        <v>9</v>
      </c>
      <c r="G949" s="2" t="s">
        <v>10</v>
      </c>
      <c r="H949" s="2" t="s">
        <v>175</v>
      </c>
      <c r="I949" s="2" t="s">
        <v>176</v>
      </c>
      <c r="J949" s="2">
        <v>104550</v>
      </c>
      <c r="K949" s="2" t="s">
        <v>177</v>
      </c>
      <c r="L949" s="2" t="s">
        <v>18</v>
      </c>
      <c r="M949" t="str">
        <f>I949 &amp; " " &amp; K949</f>
        <v>Emile Rebuschi</v>
      </c>
      <c r="Q949" t="str">
        <f t="shared" si="80"/>
        <v>104550erebuschi</v>
      </c>
    </row>
    <row r="950" spans="1:17" hidden="1" x14ac:dyDescent="0.4">
      <c r="A950">
        <v>1132</v>
      </c>
      <c r="B950" s="2"/>
      <c r="C950" s="4">
        <v>45908</v>
      </c>
      <c r="D950" s="5">
        <v>0.375</v>
      </c>
      <c r="E950" s="5">
        <v>0.4375</v>
      </c>
      <c r="F950" s="2" t="s">
        <v>9</v>
      </c>
      <c r="G950" s="2" t="s">
        <v>10</v>
      </c>
      <c r="H950" s="2" t="s">
        <v>175</v>
      </c>
      <c r="I950" s="2" t="s">
        <v>176</v>
      </c>
      <c r="J950" s="2">
        <v>102916</v>
      </c>
      <c r="K950" s="2" t="s">
        <v>177</v>
      </c>
      <c r="L950" s="2" t="s">
        <v>18</v>
      </c>
      <c r="M950" t="str">
        <f>K950 &amp; " " &amp; I950</f>
        <v>Rebuschi Emile</v>
      </c>
      <c r="Q950" t="str">
        <f t="shared" si="80"/>
        <v>102916erebuschi</v>
      </c>
    </row>
    <row r="951" spans="1:17" hidden="1" x14ac:dyDescent="0.4">
      <c r="A951">
        <v>1133</v>
      </c>
      <c r="B951" s="2"/>
      <c r="C951" s="4">
        <v>45909</v>
      </c>
      <c r="D951" s="5">
        <v>0.5</v>
      </c>
      <c r="E951" s="5">
        <v>0.54166666666666663</v>
      </c>
      <c r="F951" s="2" t="s">
        <v>9</v>
      </c>
      <c r="G951" s="2" t="s">
        <v>10</v>
      </c>
      <c r="H951" s="2" t="s">
        <v>330</v>
      </c>
      <c r="I951" s="2" t="s">
        <v>331</v>
      </c>
      <c r="J951" s="2">
        <v>102753</v>
      </c>
      <c r="K951" s="2" t="s">
        <v>332</v>
      </c>
      <c r="L951" s="2" t="s">
        <v>18</v>
      </c>
      <c r="M951" t="str">
        <f>I951 &amp; " " &amp; K951</f>
        <v>Liza Loube</v>
      </c>
      <c r="Q951" t="str">
        <f t="shared" si="80"/>
        <v>102753lloube</v>
      </c>
    </row>
    <row r="952" spans="1:17" hidden="1" x14ac:dyDescent="0.4">
      <c r="A952">
        <v>1134</v>
      </c>
      <c r="B952" s="2"/>
      <c r="C952" s="4">
        <v>45909</v>
      </c>
      <c r="D952" s="5">
        <v>0.5</v>
      </c>
      <c r="E952" s="5">
        <v>0.54166666666666663</v>
      </c>
      <c r="F952" s="2" t="s">
        <v>9</v>
      </c>
      <c r="G952" s="2" t="s">
        <v>10</v>
      </c>
      <c r="H952" s="2" t="s">
        <v>610</v>
      </c>
      <c r="I952" s="2" t="s">
        <v>611</v>
      </c>
      <c r="J952" s="2">
        <v>102753</v>
      </c>
      <c r="K952" s="2" t="s">
        <v>612</v>
      </c>
      <c r="L952" s="2" t="s">
        <v>18</v>
      </c>
      <c r="M952" t="str">
        <f t="shared" ref="M952:M956" si="83">K952 &amp; " " &amp; I952</f>
        <v>Lyu Zhiqian</v>
      </c>
      <c r="Q952" t="str">
        <f t="shared" si="80"/>
        <v>102753zlyu</v>
      </c>
    </row>
    <row r="953" spans="1:17" hidden="1" x14ac:dyDescent="0.4">
      <c r="A953">
        <v>1136</v>
      </c>
      <c r="B953" s="2"/>
      <c r="C953" s="4">
        <v>45908</v>
      </c>
      <c r="D953" s="5">
        <v>0.58333333333333337</v>
      </c>
      <c r="E953" s="5">
        <v>0.64583333333333337</v>
      </c>
      <c r="F953" s="2" t="s">
        <v>9</v>
      </c>
      <c r="G953" s="2" t="s">
        <v>10</v>
      </c>
      <c r="H953" s="2" t="s">
        <v>459</v>
      </c>
      <c r="I953" s="2" t="s">
        <v>460</v>
      </c>
      <c r="J953" s="2">
        <v>104551</v>
      </c>
      <c r="K953" s="2" t="s">
        <v>461</v>
      </c>
      <c r="L953" s="2" t="s">
        <v>14</v>
      </c>
      <c r="M953" t="str">
        <f t="shared" si="83"/>
        <v>Renioult Pierre-Antoine</v>
      </c>
      <c r="Q953" t="str">
        <f t="shared" si="80"/>
        <v>104551parenioult</v>
      </c>
    </row>
    <row r="954" spans="1:17" hidden="1" x14ac:dyDescent="0.4">
      <c r="A954">
        <v>1137</v>
      </c>
      <c r="B954" s="2"/>
      <c r="C954" s="4">
        <v>45908</v>
      </c>
      <c r="D954" s="5">
        <v>0.47916666666666669</v>
      </c>
      <c r="E954" s="5">
        <v>0.54166666666666663</v>
      </c>
      <c r="F954" s="2" t="s">
        <v>9</v>
      </c>
      <c r="G954" s="2" t="s">
        <v>10</v>
      </c>
      <c r="H954" s="2" t="s">
        <v>459</v>
      </c>
      <c r="I954" s="2" t="s">
        <v>460</v>
      </c>
      <c r="J954" s="2">
        <v>104550</v>
      </c>
      <c r="K954" s="2" t="s">
        <v>461</v>
      </c>
      <c r="L954" s="2" t="s">
        <v>14</v>
      </c>
      <c r="M954" t="str">
        <f t="shared" si="83"/>
        <v>Renioult Pierre-Antoine</v>
      </c>
      <c r="Q954" t="str">
        <f t="shared" si="80"/>
        <v>104550parenioult</v>
      </c>
    </row>
    <row r="955" spans="1:17" hidden="1" x14ac:dyDescent="0.4">
      <c r="A955">
        <v>1138</v>
      </c>
      <c r="B955" s="2"/>
      <c r="C955" s="4">
        <v>45908</v>
      </c>
      <c r="D955" s="5">
        <v>0.375</v>
      </c>
      <c r="E955" s="5">
        <v>0.4375</v>
      </c>
      <c r="F955" s="2" t="s">
        <v>9</v>
      </c>
      <c r="G955" s="2" t="s">
        <v>10</v>
      </c>
      <c r="H955" s="2" t="s">
        <v>459</v>
      </c>
      <c r="I955" s="2" t="s">
        <v>460</v>
      </c>
      <c r="J955" s="2">
        <v>102916</v>
      </c>
      <c r="K955" s="2" t="s">
        <v>461</v>
      </c>
      <c r="L955" s="2" t="s">
        <v>14</v>
      </c>
      <c r="M955" t="str">
        <f t="shared" si="83"/>
        <v>Renioult Pierre-Antoine</v>
      </c>
      <c r="Q955" t="str">
        <f t="shared" si="80"/>
        <v>102916parenioult</v>
      </c>
    </row>
    <row r="956" spans="1:17" hidden="1" x14ac:dyDescent="0.4">
      <c r="A956">
        <v>1139</v>
      </c>
      <c r="B956" s="2"/>
      <c r="C956" s="4">
        <v>45909</v>
      </c>
      <c r="D956" s="5">
        <v>0.5</v>
      </c>
      <c r="E956" s="5">
        <v>0.54166666666666663</v>
      </c>
      <c r="F956" s="2" t="s">
        <v>9</v>
      </c>
      <c r="G956" s="2" t="s">
        <v>10</v>
      </c>
      <c r="H956" s="2" t="s">
        <v>166</v>
      </c>
      <c r="I956" s="2" t="s">
        <v>167</v>
      </c>
      <c r="J956" s="2">
        <v>102753</v>
      </c>
      <c r="K956" s="2" t="s">
        <v>168</v>
      </c>
      <c r="L956" s="2" t="s">
        <v>14</v>
      </c>
      <c r="M956" t="str">
        <f t="shared" si="83"/>
        <v>Mamane Esther</v>
      </c>
      <c r="Q956" t="str">
        <f t="shared" si="80"/>
        <v>102753emamane</v>
      </c>
    </row>
    <row r="957" spans="1:17" hidden="1" x14ac:dyDescent="0.4">
      <c r="A957">
        <v>1140</v>
      </c>
      <c r="B957" s="2"/>
      <c r="C957" s="4">
        <v>45909</v>
      </c>
      <c r="D957" s="5">
        <v>0.5</v>
      </c>
      <c r="E957" s="5">
        <v>0.54166666666666663</v>
      </c>
      <c r="F957" s="2" t="s">
        <v>9</v>
      </c>
      <c r="G957" s="2" t="s">
        <v>10</v>
      </c>
      <c r="H957" s="2" t="s">
        <v>65</v>
      </c>
      <c r="I957" s="2" t="s">
        <v>66</v>
      </c>
      <c r="J957" s="2">
        <v>102753</v>
      </c>
      <c r="K957" s="2" t="s">
        <v>67</v>
      </c>
      <c r="L957" s="2" t="s">
        <v>18</v>
      </c>
      <c r="M957" t="str">
        <f>I957 &amp; " " &amp; K957</f>
        <v>Adélaïde Mansart</v>
      </c>
      <c r="Q957" t="str">
        <f t="shared" si="80"/>
        <v>102753amansart</v>
      </c>
    </row>
    <row r="958" spans="1:17" hidden="1" x14ac:dyDescent="0.4">
      <c r="A958">
        <v>1141</v>
      </c>
      <c r="B958" s="2"/>
      <c r="C958" s="4">
        <v>45908</v>
      </c>
      <c r="D958" s="5">
        <v>0.66666666666666663</v>
      </c>
      <c r="E958" s="5">
        <v>0.72916666666666663</v>
      </c>
      <c r="F958" s="2" t="s">
        <v>9</v>
      </c>
      <c r="G958" s="2" t="s">
        <v>10</v>
      </c>
      <c r="H958" s="2" t="s">
        <v>178</v>
      </c>
      <c r="I958" s="2" t="s">
        <v>179</v>
      </c>
      <c r="J958" s="2">
        <v>104855</v>
      </c>
      <c r="K958" s="2" t="s">
        <v>180</v>
      </c>
      <c r="L958" s="2" t="s">
        <v>18</v>
      </c>
      <c r="M958" t="str">
        <f>K958 &amp; " " &amp; I958</f>
        <v>Ricard Émile</v>
      </c>
      <c r="Q958" t="str">
        <f t="shared" si="80"/>
        <v>104855ericard</v>
      </c>
    </row>
    <row r="959" spans="1:17" hidden="1" x14ac:dyDescent="0.4">
      <c r="A959">
        <v>1143</v>
      </c>
      <c r="B959" s="2"/>
      <c r="C959" s="4">
        <v>45908</v>
      </c>
      <c r="D959" s="5">
        <v>0.58333333333333337</v>
      </c>
      <c r="E959" s="5">
        <v>0.64583333333333337</v>
      </c>
      <c r="F959" s="2" t="s">
        <v>9</v>
      </c>
      <c r="G959" s="2" t="s">
        <v>10</v>
      </c>
      <c r="H959" s="2" t="s">
        <v>178</v>
      </c>
      <c r="I959" s="2" t="s">
        <v>179</v>
      </c>
      <c r="J959" s="2">
        <v>104551</v>
      </c>
      <c r="K959" s="2" t="s">
        <v>180</v>
      </c>
      <c r="L959" s="2" t="s">
        <v>18</v>
      </c>
      <c r="M959" t="str">
        <f>K959 &amp; " " &amp; I959</f>
        <v>Ricard Émile</v>
      </c>
      <c r="Q959" t="str">
        <f t="shared" si="80"/>
        <v>104551ericard</v>
      </c>
    </row>
    <row r="960" spans="1:17" hidden="1" x14ac:dyDescent="0.4">
      <c r="A960">
        <v>1144</v>
      </c>
      <c r="B960" s="2"/>
      <c r="C960" s="4">
        <v>45908</v>
      </c>
      <c r="D960" s="5">
        <v>0.47916666666666669</v>
      </c>
      <c r="E960" s="5">
        <v>0.54166666666666663</v>
      </c>
      <c r="F960" s="2" t="s">
        <v>9</v>
      </c>
      <c r="G960" s="2" t="s">
        <v>10</v>
      </c>
      <c r="H960" s="2" t="s">
        <v>178</v>
      </c>
      <c r="I960" s="2" t="s">
        <v>179</v>
      </c>
      <c r="J960" s="2">
        <v>104550</v>
      </c>
      <c r="K960" s="2" t="s">
        <v>180</v>
      </c>
      <c r="L960" s="2" t="s">
        <v>14</v>
      </c>
      <c r="M960" t="str">
        <f>K960 &amp; " " &amp; I960</f>
        <v>Ricard Émile</v>
      </c>
      <c r="Q960" t="str">
        <f t="shared" si="80"/>
        <v>104550ericard</v>
      </c>
    </row>
    <row r="961" spans="1:17" hidden="1" x14ac:dyDescent="0.4">
      <c r="A961">
        <v>1145</v>
      </c>
      <c r="B961" s="2"/>
      <c r="C961" s="4">
        <v>45908</v>
      </c>
      <c r="D961" s="5">
        <v>0.375</v>
      </c>
      <c r="E961" s="5">
        <v>0.4375</v>
      </c>
      <c r="F961" s="2" t="s">
        <v>9</v>
      </c>
      <c r="G961" s="2" t="s">
        <v>10</v>
      </c>
      <c r="H961" s="2" t="s">
        <v>178</v>
      </c>
      <c r="I961" s="2" t="s">
        <v>179</v>
      </c>
      <c r="J961" s="2">
        <v>102916</v>
      </c>
      <c r="K961" s="2" t="s">
        <v>180</v>
      </c>
      <c r="L961" s="2" t="s">
        <v>14</v>
      </c>
      <c r="M961" t="str">
        <f>K961 &amp; " " &amp; I961</f>
        <v>Ricard Émile</v>
      </c>
      <c r="Q961" t="str">
        <f t="shared" si="80"/>
        <v>102916ericard</v>
      </c>
    </row>
    <row r="962" spans="1:17" hidden="1" x14ac:dyDescent="0.4">
      <c r="A962">
        <v>1146</v>
      </c>
      <c r="B962" s="2"/>
      <c r="C962" s="4">
        <v>45909</v>
      </c>
      <c r="D962" s="5">
        <v>0.5</v>
      </c>
      <c r="E962" s="5">
        <v>0.54166666666666663</v>
      </c>
      <c r="F962" s="2" t="s">
        <v>9</v>
      </c>
      <c r="G962" s="2" t="s">
        <v>10</v>
      </c>
      <c r="H962" s="2" t="s">
        <v>371</v>
      </c>
      <c r="I962" s="2" t="s">
        <v>372</v>
      </c>
      <c r="J962" s="2">
        <v>102753</v>
      </c>
      <c r="K962" s="2" t="s">
        <v>373</v>
      </c>
      <c r="L962" s="2" t="s">
        <v>18</v>
      </c>
      <c r="M962" t="str">
        <f>I962 &amp; " " &amp; K962</f>
        <v>Milo Marchès--Saury</v>
      </c>
      <c r="Q962" t="str">
        <f t="shared" si="80"/>
        <v>102753mmarchessaury</v>
      </c>
    </row>
    <row r="963" spans="1:17" hidden="1" x14ac:dyDescent="0.4">
      <c r="A963">
        <v>1147</v>
      </c>
      <c r="B963" s="2"/>
      <c r="C963" s="4">
        <v>45909</v>
      </c>
      <c r="D963" s="5">
        <v>0.5</v>
      </c>
      <c r="E963" s="5">
        <v>0.54166666666666663</v>
      </c>
      <c r="F963" s="2" t="s">
        <v>9</v>
      </c>
      <c r="G963" s="2" t="s">
        <v>10</v>
      </c>
      <c r="H963" s="2" t="s">
        <v>202</v>
      </c>
      <c r="I963" s="2" t="s">
        <v>194</v>
      </c>
      <c r="J963" s="2">
        <v>102753</v>
      </c>
      <c r="K963" s="2" t="s">
        <v>203</v>
      </c>
      <c r="L963" s="2" t="s">
        <v>14</v>
      </c>
      <c r="M963" t="str">
        <f>K963 &amp; " " &amp; I963</f>
        <v>Martin Fanny</v>
      </c>
      <c r="Q963" t="str">
        <f t="shared" si="80"/>
        <v>102753fmartin2</v>
      </c>
    </row>
    <row r="964" spans="1:17" hidden="1" x14ac:dyDescent="0.4">
      <c r="A964">
        <v>1148</v>
      </c>
      <c r="B964" s="2"/>
      <c r="C964" s="4">
        <v>45908</v>
      </c>
      <c r="D964" s="5">
        <v>0.66666666666666663</v>
      </c>
      <c r="E964" s="5">
        <v>0.72916666666666663</v>
      </c>
      <c r="F964" s="2" t="s">
        <v>9</v>
      </c>
      <c r="G964" s="2" t="s">
        <v>10</v>
      </c>
      <c r="H964" s="2" t="s">
        <v>479</v>
      </c>
      <c r="I964" s="2" t="s">
        <v>480</v>
      </c>
      <c r="J964" s="2">
        <v>104855</v>
      </c>
      <c r="K964" s="2" t="s">
        <v>481</v>
      </c>
      <c r="L964" s="2" t="s">
        <v>18</v>
      </c>
      <c r="M964" t="str">
        <f>I964 &amp; " " &amp; K964</f>
        <v>Pauline Robilliard</v>
      </c>
      <c r="Q964" t="str">
        <f t="shared" si="80"/>
        <v>104855probilliard</v>
      </c>
    </row>
    <row r="965" spans="1:17" hidden="1" x14ac:dyDescent="0.4">
      <c r="A965">
        <v>1150</v>
      </c>
      <c r="B965" s="2"/>
      <c r="C965" s="4">
        <v>45908</v>
      </c>
      <c r="D965" s="5">
        <v>0.58333333333333337</v>
      </c>
      <c r="E965" s="5">
        <v>0.64583333333333337</v>
      </c>
      <c r="F965" s="2" t="s">
        <v>9</v>
      </c>
      <c r="G965" s="2" t="s">
        <v>10</v>
      </c>
      <c r="H965" s="2" t="s">
        <v>479</v>
      </c>
      <c r="I965" s="2" t="s">
        <v>480</v>
      </c>
      <c r="J965" s="2">
        <v>104551</v>
      </c>
      <c r="K965" s="2" t="s">
        <v>481</v>
      </c>
      <c r="L965" s="2" t="s">
        <v>18</v>
      </c>
      <c r="M965" t="str">
        <f>I965 &amp; " " &amp; K965</f>
        <v>Pauline Robilliard</v>
      </c>
      <c r="Q965" t="str">
        <f t="shared" si="80"/>
        <v>104551probilliard</v>
      </c>
    </row>
    <row r="966" spans="1:17" hidden="1" x14ac:dyDescent="0.4">
      <c r="A966">
        <v>1151</v>
      </c>
      <c r="B966" s="2"/>
      <c r="C966" s="4">
        <v>45908</v>
      </c>
      <c r="D966" s="5">
        <v>0.47916666666666669</v>
      </c>
      <c r="E966" s="5">
        <v>0.54166666666666663</v>
      </c>
      <c r="F966" s="2" t="s">
        <v>9</v>
      </c>
      <c r="G966" s="2" t="s">
        <v>10</v>
      </c>
      <c r="H966" s="2" t="s">
        <v>479</v>
      </c>
      <c r="I966" s="2" t="s">
        <v>480</v>
      </c>
      <c r="J966" s="2">
        <v>104550</v>
      </c>
      <c r="K966" s="2" t="s">
        <v>481</v>
      </c>
      <c r="L966" s="2" t="s">
        <v>18</v>
      </c>
      <c r="M966" t="str">
        <f>I966 &amp; " " &amp; K966</f>
        <v>Pauline Robilliard</v>
      </c>
      <c r="Q966" t="str">
        <f t="shared" si="80"/>
        <v>104550probilliard</v>
      </c>
    </row>
    <row r="967" spans="1:17" hidden="1" x14ac:dyDescent="0.4">
      <c r="A967">
        <v>1152</v>
      </c>
      <c r="B967" s="2"/>
      <c r="C967" s="4">
        <v>45908</v>
      </c>
      <c r="D967" s="5">
        <v>0.375</v>
      </c>
      <c r="E967" s="5">
        <v>0.4375</v>
      </c>
      <c r="F967" s="2" t="s">
        <v>9</v>
      </c>
      <c r="G967" s="2" t="s">
        <v>10</v>
      </c>
      <c r="H967" s="2" t="s">
        <v>479</v>
      </c>
      <c r="I967" s="2" t="s">
        <v>480</v>
      </c>
      <c r="J967" s="2">
        <v>102916</v>
      </c>
      <c r="K967" s="2" t="s">
        <v>481</v>
      </c>
      <c r="L967" s="2" t="s">
        <v>18</v>
      </c>
      <c r="M967" t="str">
        <f>I967 &amp; " " &amp; K967</f>
        <v>Pauline Robilliard</v>
      </c>
      <c r="Q967" t="str">
        <f t="shared" si="80"/>
        <v>102916probilliard</v>
      </c>
    </row>
    <row r="968" spans="1:17" hidden="1" x14ac:dyDescent="0.4">
      <c r="A968">
        <v>1153</v>
      </c>
      <c r="B968" s="2"/>
      <c r="C968" s="4">
        <v>45909</v>
      </c>
      <c r="D968" s="5">
        <v>0.5</v>
      </c>
      <c r="E968" s="5">
        <v>0.54166666666666663</v>
      </c>
      <c r="F968" s="2" t="s">
        <v>9</v>
      </c>
      <c r="G968" s="2" t="s">
        <v>10</v>
      </c>
      <c r="H968" s="2" t="s">
        <v>333</v>
      </c>
      <c r="I968" s="2" t="s">
        <v>334</v>
      </c>
      <c r="J968" s="2">
        <v>102753</v>
      </c>
      <c r="K968" s="2" t="s">
        <v>335</v>
      </c>
      <c r="L968" s="2" t="s">
        <v>14</v>
      </c>
      <c r="M968" t="str">
        <f>K968 &amp; " " &amp; I968</f>
        <v>Maudry Lauriane</v>
      </c>
      <c r="Q968" t="str">
        <f t="shared" si="80"/>
        <v>102753lmaudry</v>
      </c>
    </row>
    <row r="969" spans="1:17" hidden="1" x14ac:dyDescent="0.4">
      <c r="A969">
        <v>1154</v>
      </c>
      <c r="B969" s="2"/>
      <c r="C969" s="4">
        <v>45909</v>
      </c>
      <c r="D969" s="5">
        <v>0.5</v>
      </c>
      <c r="E969" s="5">
        <v>0.54166666666666663</v>
      </c>
      <c r="F969" s="2" t="s">
        <v>9</v>
      </c>
      <c r="G969" s="2" t="s">
        <v>10</v>
      </c>
      <c r="H969" s="2" t="s">
        <v>169</v>
      </c>
      <c r="I969" s="2" t="s">
        <v>170</v>
      </c>
      <c r="J969" s="2">
        <v>102753</v>
      </c>
      <c r="K969" s="2" t="s">
        <v>171</v>
      </c>
      <c r="L969" s="2" t="s">
        <v>18</v>
      </c>
      <c r="M969" t="str">
        <f>I969 &amp; " " &amp; K969</f>
        <v>Éléonore Meens</v>
      </c>
      <c r="Q969" t="str">
        <f t="shared" ref="Q969:Q1022" si="84">J969&amp;H969</f>
        <v>102753emeens</v>
      </c>
    </row>
    <row r="970" spans="1:17" hidden="1" x14ac:dyDescent="0.4">
      <c r="A970">
        <v>1156</v>
      </c>
      <c r="B970" s="2"/>
      <c r="C970" s="4">
        <v>45908</v>
      </c>
      <c r="D970" s="5">
        <v>0.58333333333333337</v>
      </c>
      <c r="E970" s="5">
        <v>0.64583333333333337</v>
      </c>
      <c r="F970" s="2" t="s">
        <v>9</v>
      </c>
      <c r="G970" s="2" t="s">
        <v>10</v>
      </c>
      <c r="H970" s="2" t="s">
        <v>181</v>
      </c>
      <c r="I970" s="2" t="s">
        <v>182</v>
      </c>
      <c r="J970" s="2">
        <v>104551</v>
      </c>
      <c r="K970" s="2" t="s">
        <v>183</v>
      </c>
      <c r="L970" s="2" t="s">
        <v>18</v>
      </c>
      <c r="M970" t="str">
        <f>K970 &amp; " " &amp; I970</f>
        <v>Rodrigues Estellie</v>
      </c>
      <c r="Q970" t="str">
        <f t="shared" si="84"/>
        <v>104551erodrigues</v>
      </c>
    </row>
    <row r="971" spans="1:17" hidden="1" x14ac:dyDescent="0.4">
      <c r="A971">
        <v>1157</v>
      </c>
      <c r="B971" s="2"/>
      <c r="C971" s="4">
        <v>45908</v>
      </c>
      <c r="D971" s="5">
        <v>0.47916666666666669</v>
      </c>
      <c r="E971" s="5">
        <v>0.54166666666666663</v>
      </c>
      <c r="F971" s="2" t="s">
        <v>9</v>
      </c>
      <c r="G971" s="2" t="s">
        <v>10</v>
      </c>
      <c r="H971" s="2" t="s">
        <v>181</v>
      </c>
      <c r="I971" s="2" t="s">
        <v>182</v>
      </c>
      <c r="J971" s="2">
        <v>104550</v>
      </c>
      <c r="K971" s="2" t="s">
        <v>183</v>
      </c>
      <c r="L971" s="2" t="s">
        <v>18</v>
      </c>
      <c r="M971" t="str">
        <f>K971 &amp; " " &amp; I971</f>
        <v>Rodrigues Estellie</v>
      </c>
      <c r="Q971" t="str">
        <f t="shared" si="84"/>
        <v>104550erodrigues</v>
      </c>
    </row>
    <row r="972" spans="1:17" hidden="1" x14ac:dyDescent="0.4">
      <c r="A972">
        <v>1158</v>
      </c>
      <c r="B972" s="2"/>
      <c r="C972" s="4">
        <v>45908</v>
      </c>
      <c r="D972" s="5">
        <v>0.375</v>
      </c>
      <c r="E972" s="5">
        <v>0.4375</v>
      </c>
      <c r="F972" s="2" t="s">
        <v>9</v>
      </c>
      <c r="G972" s="2" t="s">
        <v>10</v>
      </c>
      <c r="H972" s="2" t="s">
        <v>181</v>
      </c>
      <c r="I972" s="2" t="s">
        <v>182</v>
      </c>
      <c r="J972" s="2">
        <v>102916</v>
      </c>
      <c r="K972" s="2" t="s">
        <v>183</v>
      </c>
      <c r="L972" s="2" t="s">
        <v>18</v>
      </c>
      <c r="M972" t="str">
        <f>K972 &amp; " " &amp; I972</f>
        <v>Rodrigues Estellie</v>
      </c>
      <c r="Q972" t="str">
        <f t="shared" si="84"/>
        <v>102916erodrigues</v>
      </c>
    </row>
    <row r="973" spans="1:17" hidden="1" x14ac:dyDescent="0.4">
      <c r="A973">
        <v>1159</v>
      </c>
      <c r="B973" s="2"/>
      <c r="C973" s="4">
        <v>45909</v>
      </c>
      <c r="D973" s="5">
        <v>0.5</v>
      </c>
      <c r="E973" s="5">
        <v>0.54166666666666663</v>
      </c>
      <c r="F973" s="2" t="s">
        <v>9</v>
      </c>
      <c r="G973" s="2" t="s">
        <v>10</v>
      </c>
      <c r="H973" s="2" t="s">
        <v>102</v>
      </c>
      <c r="I973" s="2" t="s">
        <v>103</v>
      </c>
      <c r="J973" s="2">
        <v>102753</v>
      </c>
      <c r="K973" s="2" t="s">
        <v>104</v>
      </c>
      <c r="L973" s="2" t="s">
        <v>18</v>
      </c>
      <c r="M973" t="str">
        <f>I973 &amp; " " &amp; K973</f>
        <v>Coralie Mellardi</v>
      </c>
      <c r="Q973" t="str">
        <f t="shared" si="84"/>
        <v>102753cmellardi</v>
      </c>
    </row>
    <row r="974" spans="1:17" hidden="1" x14ac:dyDescent="0.4">
      <c r="A974">
        <v>1160</v>
      </c>
      <c r="B974" s="2"/>
      <c r="C974" s="4">
        <v>45909</v>
      </c>
      <c r="D974" s="5">
        <v>0.5</v>
      </c>
      <c r="E974" s="5">
        <v>0.54166666666666663</v>
      </c>
      <c r="F974" s="2" t="s">
        <v>9</v>
      </c>
      <c r="G974" s="2" t="s">
        <v>10</v>
      </c>
      <c r="H974" s="2" t="s">
        <v>351</v>
      </c>
      <c r="I974" s="2" t="s">
        <v>352</v>
      </c>
      <c r="J974" s="2">
        <v>102753</v>
      </c>
      <c r="K974" s="2" t="s">
        <v>353</v>
      </c>
      <c r="L974" s="2" t="s">
        <v>14</v>
      </c>
      <c r="M974" t="str">
        <f>K974 &amp; " " &amp; I974</f>
        <v>Melliès Marie-Aude</v>
      </c>
      <c r="Q974" t="str">
        <f t="shared" si="84"/>
        <v>102753mamellies</v>
      </c>
    </row>
    <row r="975" spans="1:17" hidden="1" x14ac:dyDescent="0.4">
      <c r="A975">
        <v>1161</v>
      </c>
      <c r="B975" s="2"/>
      <c r="C975" s="4">
        <v>45908</v>
      </c>
      <c r="D975" s="5">
        <v>0.66666666666666663</v>
      </c>
      <c r="E975" s="5">
        <v>0.72916666666666663</v>
      </c>
      <c r="F975" s="2" t="s">
        <v>9</v>
      </c>
      <c r="G975" s="2" t="s">
        <v>10</v>
      </c>
      <c r="H975" s="2" t="s">
        <v>444</v>
      </c>
      <c r="I975" s="2" t="s">
        <v>445</v>
      </c>
      <c r="J975" s="2">
        <v>104855</v>
      </c>
      <c r="K975" s="2" t="s">
        <v>446</v>
      </c>
      <c r="L975" s="2" t="s">
        <v>18</v>
      </c>
      <c r="M975" t="str">
        <f>I975 &amp; " " &amp; K975</f>
        <v>Nino Rossini--Defrançois</v>
      </c>
      <c r="Q975" t="str">
        <f t="shared" si="84"/>
        <v>104855nrossinidefrancois</v>
      </c>
    </row>
    <row r="976" spans="1:17" hidden="1" x14ac:dyDescent="0.4">
      <c r="A976">
        <v>1163</v>
      </c>
      <c r="B976" s="2"/>
      <c r="C976" s="4">
        <v>45908</v>
      </c>
      <c r="D976" s="5">
        <v>0.58333333333333337</v>
      </c>
      <c r="E976" s="5">
        <v>0.64583333333333337</v>
      </c>
      <c r="F976" s="2" t="s">
        <v>9</v>
      </c>
      <c r="G976" s="2" t="s">
        <v>10</v>
      </c>
      <c r="H976" s="2" t="s">
        <v>444</v>
      </c>
      <c r="I976" s="2" t="s">
        <v>445</v>
      </c>
      <c r="J976" s="2">
        <v>104551</v>
      </c>
      <c r="K976" s="2" t="s">
        <v>446</v>
      </c>
      <c r="L976" s="2" t="s">
        <v>18</v>
      </c>
      <c r="M976" t="str">
        <f t="shared" ref="M976:M983" si="85">I976 &amp; " " &amp; K976</f>
        <v>Nino Rossini--Defrançois</v>
      </c>
      <c r="Q976" t="str">
        <f t="shared" si="84"/>
        <v>104551nrossinidefrancois</v>
      </c>
    </row>
    <row r="977" spans="1:17" hidden="1" x14ac:dyDescent="0.4">
      <c r="A977">
        <v>1164</v>
      </c>
      <c r="B977" s="2"/>
      <c r="C977" s="4">
        <v>45908</v>
      </c>
      <c r="D977" s="5">
        <v>0.47916666666666669</v>
      </c>
      <c r="E977" s="5">
        <v>0.54166666666666663</v>
      </c>
      <c r="F977" s="2" t="s">
        <v>9</v>
      </c>
      <c r="G977" s="2" t="s">
        <v>10</v>
      </c>
      <c r="H977" s="2" t="s">
        <v>444</v>
      </c>
      <c r="I977" s="2" t="s">
        <v>445</v>
      </c>
      <c r="J977" s="2">
        <v>104550</v>
      </c>
      <c r="K977" s="2" t="s">
        <v>446</v>
      </c>
      <c r="L977" s="2" t="s">
        <v>18</v>
      </c>
      <c r="M977" t="str">
        <f t="shared" si="85"/>
        <v>Nino Rossini--Defrançois</v>
      </c>
      <c r="Q977" t="str">
        <f t="shared" si="84"/>
        <v>104550nrossinidefrancois</v>
      </c>
    </row>
    <row r="978" spans="1:17" hidden="1" x14ac:dyDescent="0.4">
      <c r="A978">
        <v>1165</v>
      </c>
      <c r="B978" s="2"/>
      <c r="C978" s="4">
        <v>45908</v>
      </c>
      <c r="D978" s="5">
        <v>0.375</v>
      </c>
      <c r="E978" s="5">
        <v>0.4375</v>
      </c>
      <c r="F978" s="2" t="s">
        <v>9</v>
      </c>
      <c r="G978" s="2" t="s">
        <v>10</v>
      </c>
      <c r="H978" s="2" t="s">
        <v>444</v>
      </c>
      <c r="I978" s="2" t="s">
        <v>445</v>
      </c>
      <c r="J978" s="2">
        <v>102916</v>
      </c>
      <c r="K978" s="2" t="s">
        <v>446</v>
      </c>
      <c r="L978" s="2" t="s">
        <v>18</v>
      </c>
      <c r="M978" t="str">
        <f t="shared" si="85"/>
        <v>Nino Rossini--Defrançois</v>
      </c>
      <c r="Q978" t="str">
        <f t="shared" si="84"/>
        <v>102916nrossinidefrancois</v>
      </c>
    </row>
    <row r="979" spans="1:17" hidden="1" x14ac:dyDescent="0.4">
      <c r="A979">
        <v>1166</v>
      </c>
      <c r="B979" s="2"/>
      <c r="C979" s="4">
        <v>45909</v>
      </c>
      <c r="D979" s="5">
        <v>0.5</v>
      </c>
      <c r="E979" s="5">
        <v>0.54166666666666663</v>
      </c>
      <c r="F979" s="2" t="s">
        <v>9</v>
      </c>
      <c r="G979" s="2" t="s">
        <v>10</v>
      </c>
      <c r="H979" s="2" t="s">
        <v>336</v>
      </c>
      <c r="I979" s="2" t="s">
        <v>337</v>
      </c>
      <c r="J979" s="2">
        <v>102753</v>
      </c>
      <c r="K979" s="2" t="s">
        <v>338</v>
      </c>
      <c r="L979" s="2" t="s">
        <v>18</v>
      </c>
      <c r="M979" t="str">
        <f t="shared" si="85"/>
        <v>Léo Messina</v>
      </c>
      <c r="Q979" t="str">
        <f t="shared" si="84"/>
        <v>102753lmessina</v>
      </c>
    </row>
    <row r="980" spans="1:17" hidden="1" x14ac:dyDescent="0.4">
      <c r="A980">
        <v>1167</v>
      </c>
      <c r="B980" s="2"/>
      <c r="C980" s="4">
        <v>45909</v>
      </c>
      <c r="D980" s="5">
        <v>0.5</v>
      </c>
      <c r="E980" s="5">
        <v>0.54166666666666663</v>
      </c>
      <c r="F980" s="2" t="s">
        <v>9</v>
      </c>
      <c r="G980" s="2" t="s">
        <v>10</v>
      </c>
      <c r="H980" s="2" t="s">
        <v>435</v>
      </c>
      <c r="I980" s="2" t="s">
        <v>436</v>
      </c>
      <c r="J980" s="2">
        <v>102753</v>
      </c>
      <c r="K980" s="2" t="s">
        <v>437</v>
      </c>
      <c r="L980" s="2" t="s">
        <v>18</v>
      </c>
      <c r="M980" t="str">
        <f t="shared" si="85"/>
        <v>Naïs Métivier--Ragonnet</v>
      </c>
      <c r="Q980" t="str">
        <f t="shared" si="84"/>
        <v>102753nmetivierragonnet</v>
      </c>
    </row>
    <row r="981" spans="1:17" hidden="1" x14ac:dyDescent="0.4">
      <c r="A981">
        <v>1168</v>
      </c>
      <c r="B981" s="2"/>
      <c r="C981" s="4">
        <v>45908</v>
      </c>
      <c r="D981" s="5">
        <v>0.66666666666666663</v>
      </c>
      <c r="E981" s="5">
        <v>0.72916666666666663</v>
      </c>
      <c r="F981" s="2" t="s">
        <v>9</v>
      </c>
      <c r="G981" s="2" t="s">
        <v>10</v>
      </c>
      <c r="H981" s="2" t="s">
        <v>107</v>
      </c>
      <c r="I981" s="2" t="s">
        <v>108</v>
      </c>
      <c r="J981" s="2">
        <v>104855</v>
      </c>
      <c r="K981" s="2" t="s">
        <v>109</v>
      </c>
      <c r="L981" s="2" t="s">
        <v>18</v>
      </c>
      <c r="M981" t="str">
        <f t="shared" si="85"/>
        <v>Cyrielle Roszak</v>
      </c>
      <c r="Q981" t="str">
        <f t="shared" si="84"/>
        <v>104855croszak</v>
      </c>
    </row>
    <row r="982" spans="1:17" hidden="1" x14ac:dyDescent="0.4">
      <c r="A982">
        <v>1170</v>
      </c>
      <c r="B982" s="2"/>
      <c r="C982" s="4">
        <v>45908</v>
      </c>
      <c r="D982" s="5">
        <v>0.58333333333333337</v>
      </c>
      <c r="E982" s="5">
        <v>0.64583333333333337</v>
      </c>
      <c r="F982" s="2" t="s">
        <v>9</v>
      </c>
      <c r="G982" s="2" t="s">
        <v>10</v>
      </c>
      <c r="H982" s="2" t="s">
        <v>107</v>
      </c>
      <c r="I982" s="2" t="s">
        <v>108</v>
      </c>
      <c r="J982" s="2">
        <v>104551</v>
      </c>
      <c r="K982" s="2" t="s">
        <v>109</v>
      </c>
      <c r="L982" s="2" t="s">
        <v>18</v>
      </c>
      <c r="M982" t="str">
        <f t="shared" si="85"/>
        <v>Cyrielle Roszak</v>
      </c>
      <c r="Q982" t="str">
        <f t="shared" si="84"/>
        <v>104551croszak</v>
      </c>
    </row>
    <row r="983" spans="1:17" hidden="1" x14ac:dyDescent="0.4">
      <c r="A983">
        <v>1171</v>
      </c>
      <c r="B983" s="2"/>
      <c r="C983" s="4">
        <v>45908</v>
      </c>
      <c r="D983" s="5">
        <v>0.47916666666666669</v>
      </c>
      <c r="E983" s="5">
        <v>0.54166666666666663</v>
      </c>
      <c r="F983" s="2" t="s">
        <v>9</v>
      </c>
      <c r="G983" s="2" t="s">
        <v>10</v>
      </c>
      <c r="H983" s="2" t="s">
        <v>107</v>
      </c>
      <c r="I983" s="2" t="s">
        <v>108</v>
      </c>
      <c r="J983" s="2">
        <v>104550</v>
      </c>
      <c r="K983" s="2" t="s">
        <v>109</v>
      </c>
      <c r="L983" s="2" t="s">
        <v>18</v>
      </c>
      <c r="M983" t="str">
        <f t="shared" si="85"/>
        <v>Cyrielle Roszak</v>
      </c>
      <c r="Q983" t="str">
        <f t="shared" si="84"/>
        <v>104550croszak</v>
      </c>
    </row>
    <row r="984" spans="1:17" hidden="1" x14ac:dyDescent="0.4">
      <c r="A984">
        <v>1172</v>
      </c>
      <c r="B984" s="2"/>
      <c r="C984" s="4">
        <v>45908</v>
      </c>
      <c r="D984" s="5">
        <v>0.375</v>
      </c>
      <c r="E984" s="5">
        <v>0.4375</v>
      </c>
      <c r="F984" s="2" t="s">
        <v>9</v>
      </c>
      <c r="G984" s="2" t="s">
        <v>10</v>
      </c>
      <c r="H984" s="2" t="s">
        <v>107</v>
      </c>
      <c r="I984" s="2" t="s">
        <v>108</v>
      </c>
      <c r="J984" s="2">
        <v>102916</v>
      </c>
      <c r="K984" s="2" t="s">
        <v>109</v>
      </c>
      <c r="L984" s="2" t="s">
        <v>18</v>
      </c>
      <c r="M984" t="str">
        <f t="shared" ref="M984:M989" si="86">K984 &amp; " " &amp; I984</f>
        <v>Roszak Cyrielle</v>
      </c>
      <c r="Q984" t="str">
        <f t="shared" si="84"/>
        <v>102916croszak</v>
      </c>
    </row>
    <row r="985" spans="1:17" x14ac:dyDescent="0.4">
      <c r="A985">
        <v>1173</v>
      </c>
      <c r="B985" s="2"/>
      <c r="C985" s="4">
        <v>45909</v>
      </c>
      <c r="D985" s="5">
        <v>0.5</v>
      </c>
      <c r="E985" s="5">
        <v>0.54166666666666663</v>
      </c>
      <c r="F985" s="2" t="s">
        <v>9</v>
      </c>
      <c r="G985" s="2" t="s">
        <v>10</v>
      </c>
      <c r="H985" s="2" t="s">
        <v>374</v>
      </c>
      <c r="I985" s="2" t="s">
        <v>375</v>
      </c>
      <c r="J985" s="2">
        <v>102753</v>
      </c>
      <c r="K985" s="2" t="s">
        <v>376</v>
      </c>
      <c r="L985" s="2" t="s">
        <v>14</v>
      </c>
      <c r="M985" t="str">
        <f t="shared" si="86"/>
        <v>Metzger Maël</v>
      </c>
      <c r="Q985" t="str">
        <f t="shared" si="84"/>
        <v>102753mmetzger</v>
      </c>
    </row>
    <row r="986" spans="1:17" hidden="1" x14ac:dyDescent="0.4">
      <c r="A986">
        <v>1174</v>
      </c>
      <c r="B986" s="2"/>
      <c r="C986" s="4">
        <v>45909</v>
      </c>
      <c r="D986" s="5">
        <v>0.5</v>
      </c>
      <c r="E986" s="5">
        <v>0.54166666666666663</v>
      </c>
      <c r="F986" s="2" t="s">
        <v>9</v>
      </c>
      <c r="G986" s="2" t="s">
        <v>10</v>
      </c>
      <c r="H986" s="2" t="s">
        <v>290</v>
      </c>
      <c r="I986" s="2" t="s">
        <v>291</v>
      </c>
      <c r="J986" s="2">
        <v>102753</v>
      </c>
      <c r="K986" s="2" t="s">
        <v>292</v>
      </c>
      <c r="L986" s="2" t="s">
        <v>14</v>
      </c>
      <c r="M986" t="str">
        <f t="shared" si="86"/>
        <v>Mialon Joffrey</v>
      </c>
      <c r="Q986" t="str">
        <f t="shared" si="84"/>
        <v>102753jmialon</v>
      </c>
    </row>
    <row r="987" spans="1:17" hidden="1" x14ac:dyDescent="0.4">
      <c r="A987">
        <v>1176</v>
      </c>
      <c r="B987" s="2"/>
      <c r="C987" s="4">
        <v>45908</v>
      </c>
      <c r="D987" s="5">
        <v>0.58333333333333337</v>
      </c>
      <c r="E987" s="5">
        <v>0.64583333333333337</v>
      </c>
      <c r="F987" s="2" t="s">
        <v>9</v>
      </c>
      <c r="G987" s="2" t="s">
        <v>10</v>
      </c>
      <c r="H987" s="2" t="s">
        <v>110</v>
      </c>
      <c r="I987" s="2" t="s">
        <v>111</v>
      </c>
      <c r="J987" s="2">
        <v>104551</v>
      </c>
      <c r="K987" s="2" t="s">
        <v>112</v>
      </c>
      <c r="L987" s="2" t="s">
        <v>14</v>
      </c>
      <c r="M987" t="str">
        <f t="shared" si="86"/>
        <v>Rouge Chloë</v>
      </c>
      <c r="Q987" t="str">
        <f t="shared" si="84"/>
        <v>104551crouge</v>
      </c>
    </row>
    <row r="988" spans="1:17" hidden="1" x14ac:dyDescent="0.4">
      <c r="A988">
        <v>1177</v>
      </c>
      <c r="B988" s="2"/>
      <c r="C988" s="4">
        <v>45908</v>
      </c>
      <c r="D988" s="5">
        <v>0.47916666666666669</v>
      </c>
      <c r="E988" s="5">
        <v>0.54166666666666663</v>
      </c>
      <c r="F988" s="2" t="s">
        <v>9</v>
      </c>
      <c r="G988" s="2" t="s">
        <v>10</v>
      </c>
      <c r="H988" s="2" t="s">
        <v>110</v>
      </c>
      <c r="I988" s="2" t="s">
        <v>111</v>
      </c>
      <c r="J988" s="2">
        <v>104550</v>
      </c>
      <c r="K988" s="2" t="s">
        <v>112</v>
      </c>
      <c r="L988" s="2" t="s">
        <v>14</v>
      </c>
      <c r="M988" t="str">
        <f t="shared" si="86"/>
        <v>Rouge Chloë</v>
      </c>
      <c r="Q988" t="str">
        <f t="shared" si="84"/>
        <v>104550crouge</v>
      </c>
    </row>
    <row r="989" spans="1:17" hidden="1" x14ac:dyDescent="0.4">
      <c r="A989">
        <v>1178</v>
      </c>
      <c r="B989" s="2"/>
      <c r="C989" s="4">
        <v>45908</v>
      </c>
      <c r="D989" s="5">
        <v>0.375</v>
      </c>
      <c r="E989" s="5">
        <v>0.4375</v>
      </c>
      <c r="F989" s="2" t="s">
        <v>9</v>
      </c>
      <c r="G989" s="2" t="s">
        <v>10</v>
      </c>
      <c r="H989" s="2" t="s">
        <v>110</v>
      </c>
      <c r="I989" s="2" t="s">
        <v>111</v>
      </c>
      <c r="J989" s="2">
        <v>102916</v>
      </c>
      <c r="K989" s="2" t="s">
        <v>112</v>
      </c>
      <c r="L989" s="2" t="s">
        <v>14</v>
      </c>
      <c r="M989" t="str">
        <f t="shared" si="86"/>
        <v>Rouge Chloë</v>
      </c>
      <c r="Q989" t="str">
        <f t="shared" si="84"/>
        <v>102916crouge</v>
      </c>
    </row>
    <row r="990" spans="1:17" hidden="1" x14ac:dyDescent="0.4">
      <c r="A990">
        <v>1179</v>
      </c>
      <c r="B990" s="2"/>
      <c r="C990" s="4">
        <v>45909</v>
      </c>
      <c r="D990" s="5">
        <v>0.5</v>
      </c>
      <c r="E990" s="5">
        <v>0.54166666666666663</v>
      </c>
      <c r="F990" s="2" t="s">
        <v>9</v>
      </c>
      <c r="G990" s="2" t="s">
        <v>10</v>
      </c>
      <c r="H990" s="2" t="s">
        <v>528</v>
      </c>
      <c r="I990" s="2" t="s">
        <v>529</v>
      </c>
      <c r="J990" s="2">
        <v>102753</v>
      </c>
      <c r="K990" s="2" t="s">
        <v>530</v>
      </c>
      <c r="L990" s="2" t="s">
        <v>18</v>
      </c>
      <c r="M990" t="str">
        <f>I990 &amp; " " &amp; K990</f>
        <v>Salvatore Miceli</v>
      </c>
      <c r="Q990" t="str">
        <f t="shared" si="84"/>
        <v>102753smiceli</v>
      </c>
    </row>
    <row r="991" spans="1:17" hidden="1" x14ac:dyDescent="0.4">
      <c r="A991">
        <v>1180</v>
      </c>
      <c r="B991" s="2"/>
      <c r="C991" s="4">
        <v>45909</v>
      </c>
      <c r="D991" s="5">
        <v>0.5</v>
      </c>
      <c r="E991" s="5">
        <v>0.54166666666666663</v>
      </c>
      <c r="F991" s="2" t="s">
        <v>9</v>
      </c>
      <c r="G991" s="2" t="s">
        <v>10</v>
      </c>
      <c r="H991" s="2" t="s">
        <v>377</v>
      </c>
      <c r="I991" s="2" t="s">
        <v>378</v>
      </c>
      <c r="J991" s="2">
        <v>102753</v>
      </c>
      <c r="K991" s="2" t="s">
        <v>379</v>
      </c>
      <c r="L991" s="2" t="s">
        <v>14</v>
      </c>
      <c r="M991" t="str">
        <f t="shared" ref="M991:M1000" si="87">K991 &amp; " " &amp; I991</f>
        <v>Michel Mélodie</v>
      </c>
      <c r="Q991" t="str">
        <f t="shared" si="84"/>
        <v>102753mmichel1</v>
      </c>
    </row>
    <row r="992" spans="1:17" hidden="1" x14ac:dyDescent="0.4">
      <c r="A992">
        <v>1182</v>
      </c>
      <c r="B992" s="2"/>
      <c r="C992" s="4">
        <v>45908</v>
      </c>
      <c r="D992" s="5">
        <v>0.58333333333333337</v>
      </c>
      <c r="E992" s="5">
        <v>0.64583333333333337</v>
      </c>
      <c r="F992" s="2" t="s">
        <v>9</v>
      </c>
      <c r="G992" s="2" t="s">
        <v>10</v>
      </c>
      <c r="H992" s="2" t="s">
        <v>542</v>
      </c>
      <c r="I992" s="2" t="s">
        <v>543</v>
      </c>
      <c r="J992" s="2">
        <v>104551</v>
      </c>
      <c r="K992" s="2" t="s">
        <v>544</v>
      </c>
      <c r="L992" s="2" t="s">
        <v>14</v>
      </c>
      <c r="M992" t="str">
        <f t="shared" si="87"/>
        <v>Roulette Soni-Sesto</v>
      </c>
      <c r="Q992" t="str">
        <f t="shared" si="84"/>
        <v>104551ssroulette</v>
      </c>
    </row>
    <row r="993" spans="1:17" hidden="1" x14ac:dyDescent="0.4">
      <c r="A993">
        <v>1183</v>
      </c>
      <c r="B993" s="2"/>
      <c r="C993" s="4">
        <v>45908</v>
      </c>
      <c r="D993" s="5">
        <v>0.47916666666666669</v>
      </c>
      <c r="E993" s="5">
        <v>0.54166666666666663</v>
      </c>
      <c r="F993" s="2" t="s">
        <v>9</v>
      </c>
      <c r="G993" s="2" t="s">
        <v>10</v>
      </c>
      <c r="H993" s="2" t="s">
        <v>542</v>
      </c>
      <c r="I993" s="2" t="s">
        <v>543</v>
      </c>
      <c r="J993" s="2">
        <v>104550</v>
      </c>
      <c r="K993" s="2" t="s">
        <v>544</v>
      </c>
      <c r="L993" s="2" t="s">
        <v>14</v>
      </c>
      <c r="M993" t="str">
        <f t="shared" si="87"/>
        <v>Roulette Soni-Sesto</v>
      </c>
      <c r="Q993" t="str">
        <f t="shared" si="84"/>
        <v>104550ssroulette</v>
      </c>
    </row>
    <row r="994" spans="1:17" hidden="1" x14ac:dyDescent="0.4">
      <c r="A994">
        <v>1184</v>
      </c>
      <c r="B994" s="2"/>
      <c r="C994" s="4">
        <v>45908</v>
      </c>
      <c r="D994" s="5">
        <v>0.375</v>
      </c>
      <c r="E994" s="5">
        <v>0.4375</v>
      </c>
      <c r="F994" s="2" t="s">
        <v>9</v>
      </c>
      <c r="G994" s="2" t="s">
        <v>10</v>
      </c>
      <c r="H994" s="2" t="s">
        <v>542</v>
      </c>
      <c r="I994" s="2" t="s">
        <v>543</v>
      </c>
      <c r="J994" s="2">
        <v>102916</v>
      </c>
      <c r="K994" s="2" t="s">
        <v>544</v>
      </c>
      <c r="L994" s="2" t="s">
        <v>14</v>
      </c>
      <c r="M994" t="str">
        <f t="shared" si="87"/>
        <v>Roulette Soni-Sesto</v>
      </c>
      <c r="Q994" t="str">
        <f t="shared" si="84"/>
        <v>102916ssroulette</v>
      </c>
    </row>
    <row r="995" spans="1:17" hidden="1" x14ac:dyDescent="0.4">
      <c r="A995">
        <v>1185</v>
      </c>
      <c r="B995" s="2"/>
      <c r="C995" s="4">
        <v>45909</v>
      </c>
      <c r="D995" s="5">
        <v>0.5</v>
      </c>
      <c r="E995" s="5">
        <v>0.54166666666666663</v>
      </c>
      <c r="F995" s="2" t="s">
        <v>9</v>
      </c>
      <c r="G995" s="2" t="s">
        <v>10</v>
      </c>
      <c r="H995" s="2" t="s">
        <v>339</v>
      </c>
      <c r="I995" s="2" t="s">
        <v>337</v>
      </c>
      <c r="J995" s="2">
        <v>102753</v>
      </c>
      <c r="K995" s="2" t="s">
        <v>340</v>
      </c>
      <c r="L995" s="2" t="s">
        <v>14</v>
      </c>
      <c r="M995" t="str">
        <f t="shared" si="87"/>
        <v>Minghetti Léo</v>
      </c>
      <c r="Q995" t="str">
        <f t="shared" si="84"/>
        <v>102753lminghetti</v>
      </c>
    </row>
    <row r="996" spans="1:17" hidden="1" x14ac:dyDescent="0.4">
      <c r="A996">
        <v>1186</v>
      </c>
      <c r="B996" s="2"/>
      <c r="C996" s="4">
        <v>45909</v>
      </c>
      <c r="D996" s="5">
        <v>0.5</v>
      </c>
      <c r="E996" s="5">
        <v>0.54166666666666663</v>
      </c>
      <c r="F996" s="2" t="s">
        <v>9</v>
      </c>
      <c r="G996" s="2" t="s">
        <v>10</v>
      </c>
      <c r="H996" s="2" t="s">
        <v>380</v>
      </c>
      <c r="I996" s="2" t="s">
        <v>381</v>
      </c>
      <c r="J996" s="2">
        <v>102753</v>
      </c>
      <c r="K996" s="2" t="s">
        <v>382</v>
      </c>
      <c r="L996" s="2" t="s">
        <v>14</v>
      </c>
      <c r="M996" t="str">
        <f t="shared" si="87"/>
        <v>Mnatsakanyan Mariam</v>
      </c>
      <c r="Q996" t="str">
        <f t="shared" si="84"/>
        <v>102753mmnatsakanyan</v>
      </c>
    </row>
    <row r="997" spans="1:17" hidden="1" x14ac:dyDescent="0.4">
      <c r="A997">
        <v>1187</v>
      </c>
      <c r="B997" s="2"/>
      <c r="C997" s="4">
        <v>45908</v>
      </c>
      <c r="D997" s="5">
        <v>0.66666666666666663</v>
      </c>
      <c r="E997" s="5">
        <v>0.72916666666666663</v>
      </c>
      <c r="F997" s="2" t="s">
        <v>9</v>
      </c>
      <c r="G997" s="2" t="s">
        <v>10</v>
      </c>
      <c r="H997" s="2" t="s">
        <v>394</v>
      </c>
      <c r="I997" s="2" t="s">
        <v>395</v>
      </c>
      <c r="J997" s="2">
        <v>104855</v>
      </c>
      <c r="K997" s="2" t="s">
        <v>396</v>
      </c>
      <c r="L997" s="2" t="s">
        <v>14</v>
      </c>
      <c r="M997" t="str">
        <f t="shared" si="87"/>
        <v>Roumégas Marie</v>
      </c>
      <c r="Q997" t="str">
        <f t="shared" si="84"/>
        <v>104855mroumegas</v>
      </c>
    </row>
    <row r="998" spans="1:17" hidden="1" x14ac:dyDescent="0.4">
      <c r="A998">
        <v>1189</v>
      </c>
      <c r="B998" s="2"/>
      <c r="C998" s="4">
        <v>45908</v>
      </c>
      <c r="D998" s="5">
        <v>0.58333333333333337</v>
      </c>
      <c r="E998" s="5">
        <v>0.64583333333333337</v>
      </c>
      <c r="F998" s="2" t="s">
        <v>9</v>
      </c>
      <c r="G998" s="2" t="s">
        <v>10</v>
      </c>
      <c r="H998" s="2" t="s">
        <v>394</v>
      </c>
      <c r="I998" s="2" t="s">
        <v>395</v>
      </c>
      <c r="J998" s="2">
        <v>104551</v>
      </c>
      <c r="K998" s="2" t="s">
        <v>396</v>
      </c>
      <c r="L998" s="2" t="s">
        <v>14</v>
      </c>
      <c r="M998" t="str">
        <f t="shared" si="87"/>
        <v>Roumégas Marie</v>
      </c>
      <c r="Q998" t="str">
        <f t="shared" si="84"/>
        <v>104551mroumegas</v>
      </c>
    </row>
    <row r="999" spans="1:17" hidden="1" x14ac:dyDescent="0.4">
      <c r="A999">
        <v>1190</v>
      </c>
      <c r="B999" s="2"/>
      <c r="C999" s="4">
        <v>45908</v>
      </c>
      <c r="D999" s="5">
        <v>0.47916666666666669</v>
      </c>
      <c r="E999" s="5">
        <v>0.54166666666666663</v>
      </c>
      <c r="F999" s="2" t="s">
        <v>9</v>
      </c>
      <c r="G999" s="2" t="s">
        <v>10</v>
      </c>
      <c r="H999" s="2" t="s">
        <v>394</v>
      </c>
      <c r="I999" s="2" t="s">
        <v>395</v>
      </c>
      <c r="J999" s="2">
        <v>104550</v>
      </c>
      <c r="K999" s="2" t="s">
        <v>396</v>
      </c>
      <c r="L999" s="2" t="s">
        <v>14</v>
      </c>
      <c r="M999" t="str">
        <f t="shared" si="87"/>
        <v>Roumégas Marie</v>
      </c>
      <c r="Q999" t="str">
        <f t="shared" si="84"/>
        <v>104550mroumegas</v>
      </c>
    </row>
    <row r="1000" spans="1:17" hidden="1" x14ac:dyDescent="0.4">
      <c r="A1000">
        <v>1191</v>
      </c>
      <c r="B1000" s="2"/>
      <c r="C1000" s="4">
        <v>45908</v>
      </c>
      <c r="D1000" s="5">
        <v>0.375</v>
      </c>
      <c r="E1000" s="5">
        <v>0.4375</v>
      </c>
      <c r="F1000" s="2" t="s">
        <v>9</v>
      </c>
      <c r="G1000" s="2" t="s">
        <v>10</v>
      </c>
      <c r="H1000" s="2" t="s">
        <v>394</v>
      </c>
      <c r="I1000" s="2" t="s">
        <v>395</v>
      </c>
      <c r="J1000" s="2">
        <v>102916</v>
      </c>
      <c r="K1000" s="2" t="s">
        <v>396</v>
      </c>
      <c r="L1000" s="2" t="s">
        <v>14</v>
      </c>
      <c r="M1000" t="str">
        <f t="shared" si="87"/>
        <v>Roumégas Marie</v>
      </c>
      <c r="Q1000" t="str">
        <f t="shared" si="84"/>
        <v>102916mroumegas</v>
      </c>
    </row>
    <row r="1001" spans="1:17" hidden="1" x14ac:dyDescent="0.4">
      <c r="A1001">
        <v>1192</v>
      </c>
      <c r="B1001" s="2"/>
      <c r="C1001" s="4">
        <v>45909</v>
      </c>
      <c r="D1001" s="5">
        <v>0.5</v>
      </c>
      <c r="E1001" s="5">
        <v>0.54166666666666663</v>
      </c>
      <c r="F1001" s="2" t="s">
        <v>9</v>
      </c>
      <c r="G1001" s="2" t="s">
        <v>10</v>
      </c>
      <c r="H1001" s="2" t="s">
        <v>68</v>
      </c>
      <c r="I1001" s="2" t="s">
        <v>69</v>
      </c>
      <c r="J1001" s="2">
        <v>102753</v>
      </c>
      <c r="K1001" s="2" t="s">
        <v>70</v>
      </c>
      <c r="L1001" s="2" t="s">
        <v>18</v>
      </c>
      <c r="M1001" t="str">
        <f>I1001 &amp; " " &amp; K1001</f>
        <v>Alan Moen</v>
      </c>
      <c r="Q1001" t="str">
        <f t="shared" si="84"/>
        <v>102753amoen</v>
      </c>
    </row>
    <row r="1002" spans="1:17" hidden="1" x14ac:dyDescent="0.4">
      <c r="A1002">
        <v>1193</v>
      </c>
      <c r="B1002" s="2"/>
      <c r="C1002" s="4">
        <v>45909</v>
      </c>
      <c r="D1002" s="5">
        <v>0.5</v>
      </c>
      <c r="E1002" s="5">
        <v>0.54166666666666663</v>
      </c>
      <c r="F1002" s="2" t="s">
        <v>9</v>
      </c>
      <c r="G1002" s="2" t="s">
        <v>10</v>
      </c>
      <c r="H1002" s="2" t="s">
        <v>204</v>
      </c>
      <c r="I1002" s="2" t="s">
        <v>205</v>
      </c>
      <c r="J1002" s="2">
        <v>102753</v>
      </c>
      <c r="K1002" s="2" t="s">
        <v>206</v>
      </c>
      <c r="L1002" s="2" t="s">
        <v>18</v>
      </c>
      <c r="M1002" t="str">
        <f>I1002 &amp; " " &amp; K1002</f>
        <v>Félicien Moisseron</v>
      </c>
      <c r="Q1002" t="str">
        <f t="shared" si="84"/>
        <v>102753fmoisseron</v>
      </c>
    </row>
    <row r="1003" spans="1:17" hidden="1" x14ac:dyDescent="0.4">
      <c r="A1003">
        <v>1194</v>
      </c>
      <c r="B1003" s="2"/>
      <c r="C1003" s="4">
        <v>45908</v>
      </c>
      <c r="D1003" s="5">
        <v>0.66666666666666663</v>
      </c>
      <c r="E1003" s="5">
        <v>0.72916666666666663</v>
      </c>
      <c r="F1003" s="2" t="s">
        <v>9</v>
      </c>
      <c r="G1003" s="2" t="s">
        <v>10</v>
      </c>
      <c r="H1003" s="2" t="s">
        <v>113</v>
      </c>
      <c r="I1003" s="2" t="s">
        <v>114</v>
      </c>
      <c r="J1003" s="2">
        <v>104855</v>
      </c>
      <c r="K1003" s="2" t="s">
        <v>115</v>
      </c>
      <c r="L1003" s="2" t="s">
        <v>14</v>
      </c>
      <c r="M1003" t="str">
        <f>K1003 &amp; " " &amp; I1003</f>
        <v>Roussev Chloé</v>
      </c>
      <c r="Q1003" t="str">
        <f t="shared" si="84"/>
        <v>104855croussev</v>
      </c>
    </row>
    <row r="1004" spans="1:17" hidden="1" x14ac:dyDescent="0.4">
      <c r="A1004">
        <v>1196</v>
      </c>
      <c r="B1004" s="2"/>
      <c r="C1004" s="4">
        <v>45908</v>
      </c>
      <c r="D1004" s="5">
        <v>0.58333333333333337</v>
      </c>
      <c r="E1004" s="5">
        <v>0.64583333333333337</v>
      </c>
      <c r="F1004" s="2" t="s">
        <v>9</v>
      </c>
      <c r="G1004" s="2" t="s">
        <v>10</v>
      </c>
      <c r="H1004" s="2" t="s">
        <v>113</v>
      </c>
      <c r="I1004" s="2" t="s">
        <v>114</v>
      </c>
      <c r="J1004" s="2">
        <v>104551</v>
      </c>
      <c r="K1004" s="2" t="s">
        <v>115</v>
      </c>
      <c r="L1004" s="2" t="s">
        <v>14</v>
      </c>
      <c r="M1004" t="str">
        <f>K1004 &amp; " " &amp; I1004</f>
        <v>Roussev Chloé</v>
      </c>
      <c r="Q1004" t="str">
        <f t="shared" si="84"/>
        <v>104551croussev</v>
      </c>
    </row>
    <row r="1005" spans="1:17" hidden="1" x14ac:dyDescent="0.4">
      <c r="A1005">
        <v>1197</v>
      </c>
      <c r="B1005" s="2"/>
      <c r="C1005" s="4">
        <v>45908</v>
      </c>
      <c r="D1005" s="5">
        <v>0.47916666666666669</v>
      </c>
      <c r="E1005" s="5">
        <v>0.54166666666666663</v>
      </c>
      <c r="F1005" s="2" t="s">
        <v>9</v>
      </c>
      <c r="G1005" s="2" t="s">
        <v>10</v>
      </c>
      <c r="H1005" s="2" t="s">
        <v>113</v>
      </c>
      <c r="I1005" s="2" t="s">
        <v>114</v>
      </c>
      <c r="J1005" s="2">
        <v>104550</v>
      </c>
      <c r="K1005" s="2" t="s">
        <v>115</v>
      </c>
      <c r="L1005" s="2" t="s">
        <v>14</v>
      </c>
      <c r="M1005" t="str">
        <f>K1005 &amp; " " &amp; I1005</f>
        <v>Roussev Chloé</v>
      </c>
      <c r="Q1005" t="str">
        <f t="shared" si="84"/>
        <v>104550croussev</v>
      </c>
    </row>
    <row r="1006" spans="1:17" hidden="1" x14ac:dyDescent="0.4">
      <c r="A1006">
        <v>1198</v>
      </c>
      <c r="B1006" s="2"/>
      <c r="C1006" s="4">
        <v>45908</v>
      </c>
      <c r="D1006" s="5">
        <v>0.375</v>
      </c>
      <c r="E1006" s="5">
        <v>0.4375</v>
      </c>
      <c r="F1006" s="2" t="s">
        <v>9</v>
      </c>
      <c r="G1006" s="2" t="s">
        <v>10</v>
      </c>
      <c r="H1006" s="2" t="s">
        <v>113</v>
      </c>
      <c r="I1006" s="2" t="s">
        <v>114</v>
      </c>
      <c r="J1006" s="2">
        <v>102916</v>
      </c>
      <c r="K1006" s="2" t="s">
        <v>115</v>
      </c>
      <c r="L1006" s="2" t="s">
        <v>14</v>
      </c>
      <c r="M1006" t="str">
        <f>K1006 &amp; " " &amp; I1006</f>
        <v>Roussev Chloé</v>
      </c>
      <c r="Q1006" t="str">
        <f t="shared" si="84"/>
        <v>102916croussev</v>
      </c>
    </row>
    <row r="1007" spans="1:17" hidden="1" x14ac:dyDescent="0.4">
      <c r="A1007">
        <v>1199</v>
      </c>
      <c r="B1007" s="2"/>
      <c r="C1007" s="4">
        <v>45909</v>
      </c>
      <c r="D1007" s="5">
        <v>0.5</v>
      </c>
      <c r="E1007" s="5">
        <v>0.54166666666666663</v>
      </c>
      <c r="F1007" s="2" t="s">
        <v>9</v>
      </c>
      <c r="G1007" s="2" t="s">
        <v>10</v>
      </c>
      <c r="H1007" s="2" t="s">
        <v>71</v>
      </c>
      <c r="I1007" s="2" t="s">
        <v>72</v>
      </c>
      <c r="J1007" s="2">
        <v>102753</v>
      </c>
      <c r="K1007" s="2" t="s">
        <v>73</v>
      </c>
      <c r="L1007" s="2" t="s">
        <v>18</v>
      </c>
      <c r="M1007" t="str">
        <f>I1007 &amp; " " &amp; K1007</f>
        <v>Arcadi Moreira</v>
      </c>
      <c r="Q1007" t="str">
        <f t="shared" si="84"/>
        <v>102753amoreira1</v>
      </c>
    </row>
    <row r="1008" spans="1:17" hidden="1" x14ac:dyDescent="0.4">
      <c r="A1008">
        <v>1200</v>
      </c>
      <c r="B1008" s="2"/>
      <c r="C1008" s="4">
        <v>45909</v>
      </c>
      <c r="D1008" s="5">
        <v>0.5</v>
      </c>
      <c r="E1008" s="5">
        <v>0.54166666666666663</v>
      </c>
      <c r="F1008" s="2" t="s">
        <v>9</v>
      </c>
      <c r="G1008" s="2" t="s">
        <v>10</v>
      </c>
      <c r="H1008" s="2" t="s">
        <v>421</v>
      </c>
      <c r="I1008" s="2" t="s">
        <v>422</v>
      </c>
      <c r="J1008" s="2">
        <v>102753</v>
      </c>
      <c r="K1008" s="2" t="s">
        <v>423</v>
      </c>
      <c r="L1008" s="2" t="s">
        <v>18</v>
      </c>
      <c r="M1008" t="str">
        <f>I1008 &amp; " " &amp; K1008</f>
        <v>Nicolas, Elie Moscardo</v>
      </c>
      <c r="Q1008" t="str">
        <f t="shared" si="84"/>
        <v>102753nemoscardo</v>
      </c>
    </row>
    <row r="1009" spans="1:17" hidden="1" x14ac:dyDescent="0.4">
      <c r="A1009">
        <v>1201</v>
      </c>
      <c r="B1009" s="2"/>
      <c r="C1009" s="4">
        <v>45908</v>
      </c>
      <c r="D1009" s="5">
        <v>0.66666666666666663</v>
      </c>
      <c r="E1009" s="5">
        <v>0.72916666666666663</v>
      </c>
      <c r="F1009" s="2" t="s">
        <v>9</v>
      </c>
      <c r="G1009" s="2" t="s">
        <v>10</v>
      </c>
      <c r="H1009" s="2" t="s">
        <v>447</v>
      </c>
      <c r="I1009" s="2" t="s">
        <v>448</v>
      </c>
      <c r="J1009" s="2">
        <v>104855</v>
      </c>
      <c r="K1009" s="2" t="s">
        <v>449</v>
      </c>
      <c r="L1009" s="2" t="s">
        <v>18</v>
      </c>
      <c r="M1009" t="str">
        <f>K1009 &amp; " " &amp; I1009</f>
        <v>Royer Noé</v>
      </c>
      <c r="Q1009" t="str">
        <f t="shared" si="84"/>
        <v>104855nroyer</v>
      </c>
    </row>
    <row r="1010" spans="1:17" hidden="1" x14ac:dyDescent="0.4">
      <c r="A1010">
        <v>1203</v>
      </c>
      <c r="B1010" s="2"/>
      <c r="C1010" s="4">
        <v>45908</v>
      </c>
      <c r="D1010" s="5">
        <v>0.58333333333333337</v>
      </c>
      <c r="E1010" s="5">
        <v>0.64583333333333337</v>
      </c>
      <c r="F1010" s="2" t="s">
        <v>9</v>
      </c>
      <c r="G1010" s="2" t="s">
        <v>10</v>
      </c>
      <c r="H1010" s="2" t="s">
        <v>447</v>
      </c>
      <c r="I1010" s="2" t="s">
        <v>448</v>
      </c>
      <c r="J1010" s="2">
        <v>104551</v>
      </c>
      <c r="K1010" s="2" t="s">
        <v>449</v>
      </c>
      <c r="L1010" s="2" t="s">
        <v>18</v>
      </c>
      <c r="M1010" t="str">
        <f>K1010 &amp; " " &amp; I1010</f>
        <v>Royer Noé</v>
      </c>
      <c r="Q1010" t="str">
        <f t="shared" si="84"/>
        <v>104551nroyer</v>
      </c>
    </row>
    <row r="1011" spans="1:17" hidden="1" x14ac:dyDescent="0.4">
      <c r="A1011">
        <v>1204</v>
      </c>
      <c r="B1011" s="2"/>
      <c r="C1011" s="4">
        <v>45908</v>
      </c>
      <c r="D1011" s="5">
        <v>0.47916666666666669</v>
      </c>
      <c r="E1011" s="5">
        <v>0.54166666666666663</v>
      </c>
      <c r="F1011" s="2" t="s">
        <v>9</v>
      </c>
      <c r="G1011" s="2" t="s">
        <v>10</v>
      </c>
      <c r="H1011" s="2" t="s">
        <v>447</v>
      </c>
      <c r="I1011" s="2" t="s">
        <v>448</v>
      </c>
      <c r="J1011" s="2">
        <v>104550</v>
      </c>
      <c r="K1011" s="2" t="s">
        <v>449</v>
      </c>
      <c r="L1011" s="2" t="s">
        <v>18</v>
      </c>
      <c r="M1011" t="str">
        <f>K1011 &amp; " " &amp; I1011</f>
        <v>Royer Noé</v>
      </c>
      <c r="Q1011" t="str">
        <f t="shared" si="84"/>
        <v>104550nroyer</v>
      </c>
    </row>
    <row r="1012" spans="1:17" hidden="1" x14ac:dyDescent="0.4">
      <c r="A1012">
        <v>1205</v>
      </c>
      <c r="B1012" s="2"/>
      <c r="C1012" s="4">
        <v>45908</v>
      </c>
      <c r="D1012" s="5">
        <v>0.375</v>
      </c>
      <c r="E1012" s="5">
        <v>0.4375</v>
      </c>
      <c r="F1012" s="2" t="s">
        <v>9</v>
      </c>
      <c r="G1012" s="2" t="s">
        <v>10</v>
      </c>
      <c r="H1012" s="2" t="s">
        <v>447</v>
      </c>
      <c r="I1012" s="2" t="s">
        <v>448</v>
      </c>
      <c r="J1012" s="2">
        <v>102916</v>
      </c>
      <c r="K1012" s="2" t="s">
        <v>449</v>
      </c>
      <c r="L1012" s="2" t="s">
        <v>14</v>
      </c>
      <c r="M1012" t="str">
        <f>K1012 &amp; " " &amp; I1012</f>
        <v>Royer Noé</v>
      </c>
      <c r="Q1012" t="str">
        <f t="shared" si="84"/>
        <v>102916nroyer</v>
      </c>
    </row>
    <row r="1013" spans="1:17" hidden="1" x14ac:dyDescent="0.4">
      <c r="A1013">
        <v>1206</v>
      </c>
      <c r="B1013" s="2"/>
      <c r="C1013" s="4">
        <v>45909</v>
      </c>
      <c r="D1013" s="5">
        <v>0.5</v>
      </c>
      <c r="E1013" s="5">
        <v>0.54166666666666663</v>
      </c>
      <c r="F1013" s="2" t="s">
        <v>9</v>
      </c>
      <c r="G1013" s="2" t="s">
        <v>10</v>
      </c>
      <c r="H1013" s="2" t="s">
        <v>474</v>
      </c>
      <c r="I1013" s="2" t="s">
        <v>466</v>
      </c>
      <c r="J1013" s="2">
        <v>102753</v>
      </c>
      <c r="K1013" s="2" t="s">
        <v>475</v>
      </c>
      <c r="L1013" s="2" t="s">
        <v>18</v>
      </c>
      <c r="M1013" t="str">
        <f>I1013 &amp; " " &amp; K1013</f>
        <v>Pierre Muslewski</v>
      </c>
      <c r="Q1013" t="str">
        <f t="shared" si="84"/>
        <v>102753pmuslewski</v>
      </c>
    </row>
    <row r="1014" spans="1:17" hidden="1" x14ac:dyDescent="0.4">
      <c r="A1014">
        <v>1207</v>
      </c>
      <c r="B1014" s="2"/>
      <c r="C1014" s="4">
        <v>45909</v>
      </c>
      <c r="D1014" s="5">
        <v>0.5</v>
      </c>
      <c r="E1014" s="5">
        <v>0.54166666666666663</v>
      </c>
      <c r="F1014" s="2" t="s">
        <v>9</v>
      </c>
      <c r="G1014" s="2" t="s">
        <v>10</v>
      </c>
      <c r="H1014" s="2" t="s">
        <v>303</v>
      </c>
      <c r="I1014" s="2" t="s">
        <v>304</v>
      </c>
      <c r="J1014" s="2">
        <v>102753</v>
      </c>
      <c r="K1014" s="2" t="s">
        <v>305</v>
      </c>
      <c r="L1014" s="2" t="s">
        <v>18</v>
      </c>
      <c r="M1014" t="str">
        <f>I1014 &amp; " " &amp; K1014</f>
        <v>Killyan Najera Houbiers</v>
      </c>
      <c r="Q1014" t="str">
        <f t="shared" si="84"/>
        <v>102753knajerahoubiers</v>
      </c>
    </row>
    <row r="1015" spans="1:17" hidden="1" x14ac:dyDescent="0.4">
      <c r="A1015">
        <v>1209</v>
      </c>
      <c r="B1015" s="2"/>
      <c r="C1015" s="4">
        <v>45908</v>
      </c>
      <c r="D1015" s="5">
        <v>0.58333333333333337</v>
      </c>
      <c r="E1015" s="5">
        <v>0.64583333333333337</v>
      </c>
      <c r="F1015" s="2" t="s">
        <v>9</v>
      </c>
      <c r="G1015" s="2" t="s">
        <v>10</v>
      </c>
      <c r="H1015" s="2" t="s">
        <v>220</v>
      </c>
      <c r="I1015" s="2" t="s">
        <v>213</v>
      </c>
      <c r="J1015" s="2">
        <v>104551</v>
      </c>
      <c r="K1015" s="2" t="s">
        <v>221</v>
      </c>
      <c r="L1015" s="2" t="s">
        <v>14</v>
      </c>
      <c r="M1015" t="str">
        <f t="shared" ref="M1015:M1019" si="88">K1015 &amp; " " &amp; I1015</f>
        <v>Sardier Guillaume</v>
      </c>
      <c r="Q1015" t="str">
        <f t="shared" si="84"/>
        <v>104551gsardier</v>
      </c>
    </row>
    <row r="1016" spans="1:17" hidden="1" x14ac:dyDescent="0.4">
      <c r="A1016">
        <v>1210</v>
      </c>
      <c r="B1016" s="2"/>
      <c r="C1016" s="4">
        <v>45908</v>
      </c>
      <c r="D1016" s="5">
        <v>0.47916666666666669</v>
      </c>
      <c r="E1016" s="5">
        <v>0.54166666666666663</v>
      </c>
      <c r="F1016" s="2" t="s">
        <v>9</v>
      </c>
      <c r="G1016" s="2" t="s">
        <v>10</v>
      </c>
      <c r="H1016" s="2" t="s">
        <v>220</v>
      </c>
      <c r="I1016" s="2" t="s">
        <v>213</v>
      </c>
      <c r="J1016" s="2">
        <v>104550</v>
      </c>
      <c r="K1016" s="2" t="s">
        <v>221</v>
      </c>
      <c r="L1016" s="2" t="s">
        <v>14</v>
      </c>
      <c r="M1016" t="str">
        <f t="shared" si="88"/>
        <v>Sardier Guillaume</v>
      </c>
      <c r="Q1016" t="str">
        <f t="shared" si="84"/>
        <v>104550gsardier</v>
      </c>
    </row>
    <row r="1017" spans="1:17" hidden="1" x14ac:dyDescent="0.4">
      <c r="A1017">
        <v>1211</v>
      </c>
      <c r="B1017" s="2"/>
      <c r="C1017" s="4">
        <v>45908</v>
      </c>
      <c r="D1017" s="5">
        <v>0.375</v>
      </c>
      <c r="E1017" s="5">
        <v>0.4375</v>
      </c>
      <c r="F1017" s="2" t="s">
        <v>9</v>
      </c>
      <c r="G1017" s="2" t="s">
        <v>10</v>
      </c>
      <c r="H1017" s="2" t="s">
        <v>220</v>
      </c>
      <c r="I1017" s="2" t="s">
        <v>213</v>
      </c>
      <c r="J1017" s="2">
        <v>102916</v>
      </c>
      <c r="K1017" s="2" t="s">
        <v>221</v>
      </c>
      <c r="L1017" s="2" t="s">
        <v>14</v>
      </c>
      <c r="M1017" t="str">
        <f t="shared" si="88"/>
        <v>Sardier Guillaume</v>
      </c>
      <c r="Q1017" t="str">
        <f t="shared" si="84"/>
        <v>102916gsardier</v>
      </c>
    </row>
    <row r="1018" spans="1:17" hidden="1" x14ac:dyDescent="0.4">
      <c r="A1018">
        <v>1212</v>
      </c>
      <c r="B1018" s="2"/>
      <c r="C1018" s="4">
        <v>45909</v>
      </c>
      <c r="D1018" s="5">
        <v>0.5</v>
      </c>
      <c r="E1018" s="5">
        <v>0.54166666666666663</v>
      </c>
      <c r="F1018" s="2" t="s">
        <v>9</v>
      </c>
      <c r="G1018" s="2" t="s">
        <v>10</v>
      </c>
      <c r="H1018" s="2" t="s">
        <v>93</v>
      </c>
      <c r="I1018" s="2" t="s">
        <v>94</v>
      </c>
      <c r="J1018" s="2">
        <v>102753</v>
      </c>
      <c r="K1018" s="2" t="s">
        <v>95</v>
      </c>
      <c r="L1018" s="2" t="s">
        <v>14</v>
      </c>
      <c r="M1018" t="str">
        <f t="shared" si="88"/>
        <v>Naji Bilal</v>
      </c>
      <c r="Q1018" t="str">
        <f t="shared" si="84"/>
        <v>102753bnaji</v>
      </c>
    </row>
    <row r="1019" spans="1:17" hidden="1" x14ac:dyDescent="0.4">
      <c r="A1019">
        <v>1213</v>
      </c>
      <c r="B1019" s="2"/>
      <c r="C1019" s="4">
        <v>45909</v>
      </c>
      <c r="D1019" s="5">
        <v>0.5</v>
      </c>
      <c r="E1019" s="5">
        <v>0.54166666666666663</v>
      </c>
      <c r="F1019" s="2" t="s">
        <v>9</v>
      </c>
      <c r="G1019" s="2" t="s">
        <v>10</v>
      </c>
      <c r="H1019" s="2" t="s">
        <v>383</v>
      </c>
      <c r="I1019" s="2" t="s">
        <v>384</v>
      </c>
      <c r="J1019" s="2">
        <v>102753</v>
      </c>
      <c r="K1019" s="2" t="s">
        <v>385</v>
      </c>
      <c r="L1019" s="2" t="s">
        <v>14</v>
      </c>
      <c r="M1019" t="str">
        <f t="shared" si="88"/>
        <v>Nakahira Meiko</v>
      </c>
      <c r="Q1019" t="str">
        <f t="shared" si="84"/>
        <v>102753mnakahira1</v>
      </c>
    </row>
    <row r="1020" spans="1:17" hidden="1" x14ac:dyDescent="0.4">
      <c r="A1020">
        <v>1214</v>
      </c>
      <c r="B1020" s="2"/>
      <c r="C1020" s="4">
        <v>45908</v>
      </c>
      <c r="D1020" s="5">
        <v>0.66666666666666663</v>
      </c>
      <c r="E1020" s="5">
        <v>0.72916666666666663</v>
      </c>
      <c r="F1020" s="2" t="s">
        <v>9</v>
      </c>
      <c r="G1020" s="2" t="s">
        <v>10</v>
      </c>
      <c r="H1020" s="2" t="s">
        <v>341</v>
      </c>
      <c r="I1020" s="2" t="s">
        <v>313</v>
      </c>
      <c r="J1020" s="2">
        <v>104855</v>
      </c>
      <c r="K1020" s="2" t="s">
        <v>342</v>
      </c>
      <c r="L1020" s="2" t="s">
        <v>18</v>
      </c>
      <c r="M1020" t="str">
        <f>I1020 &amp; " " &amp; K1020</f>
        <v>Louis Sardina Meesemaecker</v>
      </c>
      <c r="Q1020" t="str">
        <f t="shared" si="84"/>
        <v>104855lsardinameesemaecker</v>
      </c>
    </row>
    <row r="1021" spans="1:17" hidden="1" x14ac:dyDescent="0.4">
      <c r="A1021">
        <v>1216</v>
      </c>
      <c r="B1021" s="2"/>
      <c r="C1021" s="4">
        <v>45908</v>
      </c>
      <c r="D1021" s="5">
        <v>0.58333333333333337</v>
      </c>
      <c r="E1021" s="5">
        <v>0.64583333333333337</v>
      </c>
      <c r="F1021" s="2" t="s">
        <v>9</v>
      </c>
      <c r="G1021" s="2" t="s">
        <v>10</v>
      </c>
      <c r="H1021" s="2" t="s">
        <v>341</v>
      </c>
      <c r="I1021" s="2" t="s">
        <v>313</v>
      </c>
      <c r="J1021" s="2">
        <v>104551</v>
      </c>
      <c r="K1021" s="2" t="s">
        <v>342</v>
      </c>
      <c r="L1021" s="2" t="s">
        <v>18</v>
      </c>
      <c r="M1021" t="str">
        <f t="shared" ref="M1021:M1026" si="89">I1021 &amp; " " &amp; K1021</f>
        <v>Louis Sardina Meesemaecker</v>
      </c>
      <c r="Q1021" t="str">
        <f t="shared" si="84"/>
        <v>104551lsardinameesemaecker</v>
      </c>
    </row>
    <row r="1022" spans="1:17" hidden="1" x14ac:dyDescent="0.4">
      <c r="A1022">
        <v>1217</v>
      </c>
      <c r="B1022" s="2"/>
      <c r="C1022" s="4">
        <v>45908</v>
      </c>
      <c r="D1022" s="5">
        <v>0.47916666666666669</v>
      </c>
      <c r="E1022" s="5">
        <v>0.54166666666666663</v>
      </c>
      <c r="F1022" s="2" t="s">
        <v>9</v>
      </c>
      <c r="G1022" s="2" t="s">
        <v>10</v>
      </c>
      <c r="H1022" s="2" t="s">
        <v>341</v>
      </c>
      <c r="I1022" s="2" t="s">
        <v>313</v>
      </c>
      <c r="J1022" s="2">
        <v>104550</v>
      </c>
      <c r="K1022" s="2" t="s">
        <v>342</v>
      </c>
      <c r="L1022" s="2" t="s">
        <v>18</v>
      </c>
      <c r="M1022" t="str">
        <f t="shared" si="89"/>
        <v>Louis Sardina Meesemaecker</v>
      </c>
      <c r="Q1022" t="str">
        <f t="shared" si="84"/>
        <v>104550lsardinameesemaecker</v>
      </c>
    </row>
    <row r="1023" spans="1:17" hidden="1" x14ac:dyDescent="0.4">
      <c r="A1023">
        <v>1218</v>
      </c>
      <c r="B1023" s="2"/>
      <c r="C1023" s="4">
        <v>45908</v>
      </c>
      <c r="D1023" s="5">
        <v>0.375</v>
      </c>
      <c r="E1023" s="5">
        <v>0.4375</v>
      </c>
      <c r="F1023" s="2" t="s">
        <v>9</v>
      </c>
      <c r="G1023" s="2" t="s">
        <v>10</v>
      </c>
      <c r="H1023" s="2" t="s">
        <v>341</v>
      </c>
      <c r="I1023" s="2" t="s">
        <v>313</v>
      </c>
      <c r="J1023" s="2">
        <v>102916</v>
      </c>
      <c r="K1023" s="2" t="s">
        <v>342</v>
      </c>
      <c r="L1023" s="2" t="s">
        <v>18</v>
      </c>
      <c r="M1023" t="str">
        <f t="shared" si="89"/>
        <v>Louis Sardina Meesemaecker</v>
      </c>
      <c r="Q1023" t="str">
        <f t="shared" ref="Q1023:Q1077" si="90">J1023&amp;H1023</f>
        <v>102916lsardinameesemaecker</v>
      </c>
    </row>
    <row r="1024" spans="1:17" hidden="1" x14ac:dyDescent="0.4">
      <c r="A1024">
        <v>1219</v>
      </c>
      <c r="B1024" s="2"/>
      <c r="C1024" s="4">
        <v>45909</v>
      </c>
      <c r="D1024" s="5">
        <v>0.5</v>
      </c>
      <c r="E1024" s="5">
        <v>0.54166666666666663</v>
      </c>
      <c r="F1024" s="2" t="s">
        <v>9</v>
      </c>
      <c r="G1024" s="2" t="s">
        <v>10</v>
      </c>
      <c r="H1024" s="2" t="s">
        <v>74</v>
      </c>
      <c r="I1024" s="2" t="s">
        <v>75</v>
      </c>
      <c r="J1024" s="2">
        <v>102753</v>
      </c>
      <c r="K1024" s="2" t="s">
        <v>76</v>
      </c>
      <c r="L1024" s="2" t="s">
        <v>18</v>
      </c>
      <c r="M1024" t="str">
        <f t="shared" si="89"/>
        <v>Abel Nantois</v>
      </c>
      <c r="Q1024" t="str">
        <f t="shared" si="90"/>
        <v>102753anantois</v>
      </c>
    </row>
    <row r="1025" spans="1:17" hidden="1" x14ac:dyDescent="0.4">
      <c r="A1025">
        <v>1220</v>
      </c>
      <c r="B1025" s="2"/>
      <c r="C1025" s="4">
        <v>45909</v>
      </c>
      <c r="D1025" s="5">
        <v>0.5</v>
      </c>
      <c r="E1025" s="5">
        <v>0.54166666666666663</v>
      </c>
      <c r="F1025" s="2" t="s">
        <v>9</v>
      </c>
      <c r="G1025" s="2" t="s">
        <v>10</v>
      </c>
      <c r="H1025" s="2" t="s">
        <v>217</v>
      </c>
      <c r="I1025" s="2" t="s">
        <v>218</v>
      </c>
      <c r="J1025" s="2">
        <v>102753</v>
      </c>
      <c r="K1025" s="2" t="s">
        <v>219</v>
      </c>
      <c r="L1025" s="2" t="s">
        <v>18</v>
      </c>
      <c r="M1025" t="str">
        <f t="shared" si="89"/>
        <v>Geoffrey Nguyen</v>
      </c>
      <c r="Q1025" t="str">
        <f t="shared" si="90"/>
        <v>102753gnguyen</v>
      </c>
    </row>
    <row r="1026" spans="1:17" hidden="1" x14ac:dyDescent="0.4">
      <c r="A1026">
        <v>1221</v>
      </c>
      <c r="B1026" s="2"/>
      <c r="C1026" s="4">
        <v>45908</v>
      </c>
      <c r="D1026" s="5">
        <v>0.66666666666666663</v>
      </c>
      <c r="E1026" s="5">
        <v>0.72916666666666663</v>
      </c>
      <c r="F1026" s="2" t="s">
        <v>9</v>
      </c>
      <c r="G1026" s="2" t="s">
        <v>10</v>
      </c>
      <c r="H1026" s="2" t="s">
        <v>238</v>
      </c>
      <c r="I1026" s="2" t="s">
        <v>239</v>
      </c>
      <c r="J1026" s="2">
        <v>104855</v>
      </c>
      <c r="K1026" s="2" t="s">
        <v>240</v>
      </c>
      <c r="L1026" s="2" t="s">
        <v>18</v>
      </c>
      <c r="M1026" t="str">
        <f t="shared" si="89"/>
        <v>Hiromi Sato</v>
      </c>
      <c r="Q1026" t="str">
        <f t="shared" si="90"/>
        <v>104855hsato</v>
      </c>
    </row>
    <row r="1027" spans="1:17" hidden="1" x14ac:dyDescent="0.4">
      <c r="A1027">
        <v>1223</v>
      </c>
      <c r="B1027" s="2"/>
      <c r="C1027" s="4">
        <v>45908</v>
      </c>
      <c r="D1027" s="5">
        <v>0.58333333333333337</v>
      </c>
      <c r="E1027" s="5">
        <v>0.64583333333333337</v>
      </c>
      <c r="F1027" s="2" t="s">
        <v>9</v>
      </c>
      <c r="G1027" s="2" t="s">
        <v>10</v>
      </c>
      <c r="H1027" s="2" t="s">
        <v>238</v>
      </c>
      <c r="I1027" s="2" t="s">
        <v>239</v>
      </c>
      <c r="J1027" s="2">
        <v>104551</v>
      </c>
      <c r="K1027" s="2" t="s">
        <v>240</v>
      </c>
      <c r="L1027" s="2" t="s">
        <v>18</v>
      </c>
      <c r="M1027" t="str">
        <f>I1027 &amp; " " &amp; K1027</f>
        <v>Hiromi Sato</v>
      </c>
      <c r="Q1027" t="str">
        <f t="shared" si="90"/>
        <v>104551hsato</v>
      </c>
    </row>
    <row r="1028" spans="1:17" hidden="1" x14ac:dyDescent="0.4">
      <c r="A1028">
        <v>1224</v>
      </c>
      <c r="B1028" s="2"/>
      <c r="C1028" s="4">
        <v>45908</v>
      </c>
      <c r="D1028" s="5">
        <v>0.47916666666666669</v>
      </c>
      <c r="E1028" s="5">
        <v>0.54166666666666663</v>
      </c>
      <c r="F1028" s="2" t="s">
        <v>9</v>
      </c>
      <c r="G1028" s="2" t="s">
        <v>10</v>
      </c>
      <c r="H1028" s="2" t="s">
        <v>238</v>
      </c>
      <c r="I1028" s="2" t="s">
        <v>239</v>
      </c>
      <c r="J1028" s="2">
        <v>104550</v>
      </c>
      <c r="K1028" s="2" t="s">
        <v>240</v>
      </c>
      <c r="L1028" s="2" t="s">
        <v>18</v>
      </c>
      <c r="M1028" t="str">
        <f>I1028 &amp; " " &amp; K1028</f>
        <v>Hiromi Sato</v>
      </c>
      <c r="Q1028" t="str">
        <f t="shared" si="90"/>
        <v>104550hsato</v>
      </c>
    </row>
    <row r="1029" spans="1:17" hidden="1" x14ac:dyDescent="0.4">
      <c r="A1029">
        <v>1225</v>
      </c>
      <c r="B1029" s="2"/>
      <c r="C1029" s="4">
        <v>45908</v>
      </c>
      <c r="D1029" s="5">
        <v>0.375</v>
      </c>
      <c r="E1029" s="5">
        <v>0.4375</v>
      </c>
      <c r="F1029" s="2" t="s">
        <v>9</v>
      </c>
      <c r="G1029" s="2" t="s">
        <v>10</v>
      </c>
      <c r="H1029" s="2" t="s">
        <v>238</v>
      </c>
      <c r="I1029" s="2" t="s">
        <v>239</v>
      </c>
      <c r="J1029" s="2">
        <v>102916</v>
      </c>
      <c r="K1029" s="2" t="s">
        <v>240</v>
      </c>
      <c r="L1029" s="2" t="s">
        <v>18</v>
      </c>
      <c r="M1029" t="str">
        <f>K1029 &amp; " " &amp; I1029</f>
        <v>Sato Hiromi</v>
      </c>
      <c r="Q1029" t="str">
        <f t="shared" si="90"/>
        <v>102916hsato</v>
      </c>
    </row>
    <row r="1030" spans="1:17" hidden="1" x14ac:dyDescent="0.4">
      <c r="A1030">
        <v>1226</v>
      </c>
      <c r="B1030" s="2"/>
      <c r="C1030" s="4">
        <v>45909</v>
      </c>
      <c r="D1030" s="5">
        <v>0.5</v>
      </c>
      <c r="E1030" s="5">
        <v>0.54166666666666663</v>
      </c>
      <c r="F1030" s="2" t="s">
        <v>9</v>
      </c>
      <c r="G1030" s="2" t="s">
        <v>10</v>
      </c>
      <c r="H1030" s="2" t="s">
        <v>301</v>
      </c>
      <c r="I1030" s="2" t="s">
        <v>302</v>
      </c>
      <c r="J1030" s="2">
        <v>102753</v>
      </c>
      <c r="K1030" s="2" t="s">
        <v>219</v>
      </c>
      <c r="L1030" s="2" t="s">
        <v>18</v>
      </c>
      <c r="M1030" t="str">
        <f>I1030 &amp; " " &amp; K1030</f>
        <v>Kim-Hac-Tram Nguyen</v>
      </c>
      <c r="Q1030" t="str">
        <f t="shared" si="90"/>
        <v>102753khtnguyen</v>
      </c>
    </row>
    <row r="1031" spans="1:17" hidden="1" x14ac:dyDescent="0.4">
      <c r="A1031">
        <v>1227</v>
      </c>
      <c r="B1031" s="2"/>
      <c r="C1031" s="4">
        <v>45909</v>
      </c>
      <c r="D1031" s="5">
        <v>0.5</v>
      </c>
      <c r="E1031" s="5">
        <v>0.54166666666666663</v>
      </c>
      <c r="F1031" s="2" t="s">
        <v>9</v>
      </c>
      <c r="G1031" s="2" t="s">
        <v>10</v>
      </c>
      <c r="H1031" s="2" t="s">
        <v>505</v>
      </c>
      <c r="I1031" s="2" t="s">
        <v>506</v>
      </c>
      <c r="J1031" s="2">
        <v>102753</v>
      </c>
      <c r="K1031" s="2" t="s">
        <v>507</v>
      </c>
      <c r="L1031" s="2" t="s">
        <v>14</v>
      </c>
      <c r="M1031" t="str">
        <f t="shared" ref="M1031:M1042" si="91">K1031 &amp; " " &amp; I1031</f>
        <v>Normand-Condat Rébecca</v>
      </c>
      <c r="Q1031" t="str">
        <f t="shared" si="90"/>
        <v>102753rnormand-condat</v>
      </c>
    </row>
    <row r="1032" spans="1:17" hidden="1" x14ac:dyDescent="0.4">
      <c r="A1032">
        <v>1228</v>
      </c>
      <c r="B1032" s="2"/>
      <c r="C1032" s="4">
        <v>45908</v>
      </c>
      <c r="D1032" s="5">
        <v>0.66666666666666663</v>
      </c>
      <c r="E1032" s="5">
        <v>0.72916666666666663</v>
      </c>
      <c r="F1032" s="2" t="s">
        <v>9</v>
      </c>
      <c r="G1032" s="2" t="s">
        <v>10</v>
      </c>
      <c r="H1032" s="2" t="s">
        <v>476</v>
      </c>
      <c r="I1032" s="2" t="s">
        <v>477</v>
      </c>
      <c r="J1032" s="2">
        <v>104855</v>
      </c>
      <c r="K1032" s="2" t="s">
        <v>478</v>
      </c>
      <c r="L1032" s="2" t="s">
        <v>14</v>
      </c>
      <c r="M1032" t="str">
        <f t="shared" si="91"/>
        <v>Schena Paolo</v>
      </c>
      <c r="Q1032" t="str">
        <f t="shared" si="90"/>
        <v>104855pnschena</v>
      </c>
    </row>
    <row r="1033" spans="1:17" hidden="1" x14ac:dyDescent="0.4">
      <c r="A1033">
        <v>1230</v>
      </c>
      <c r="B1033" s="2"/>
      <c r="C1033" s="4">
        <v>45908</v>
      </c>
      <c r="D1033" s="5">
        <v>0.58333333333333337</v>
      </c>
      <c r="E1033" s="5">
        <v>0.64583333333333337</v>
      </c>
      <c r="F1033" s="2" t="s">
        <v>9</v>
      </c>
      <c r="G1033" s="2" t="s">
        <v>10</v>
      </c>
      <c r="H1033" s="2" t="s">
        <v>476</v>
      </c>
      <c r="I1033" s="2" t="s">
        <v>477</v>
      </c>
      <c r="J1033" s="2">
        <v>104551</v>
      </c>
      <c r="K1033" s="2" t="s">
        <v>478</v>
      </c>
      <c r="L1033" s="2" t="s">
        <v>14</v>
      </c>
      <c r="M1033" t="str">
        <f t="shared" si="91"/>
        <v>Schena Paolo</v>
      </c>
      <c r="Q1033" t="str">
        <f t="shared" si="90"/>
        <v>104551pnschena</v>
      </c>
    </row>
    <row r="1034" spans="1:17" hidden="1" x14ac:dyDescent="0.4">
      <c r="A1034">
        <v>1231</v>
      </c>
      <c r="B1034" s="2"/>
      <c r="C1034" s="4">
        <v>45908</v>
      </c>
      <c r="D1034" s="5">
        <v>0.47916666666666669</v>
      </c>
      <c r="E1034" s="5">
        <v>0.54166666666666663</v>
      </c>
      <c r="F1034" s="2" t="s">
        <v>9</v>
      </c>
      <c r="G1034" s="2" t="s">
        <v>10</v>
      </c>
      <c r="H1034" s="2" t="s">
        <v>476</v>
      </c>
      <c r="I1034" s="2" t="s">
        <v>477</v>
      </c>
      <c r="J1034" s="2">
        <v>104550</v>
      </c>
      <c r="K1034" s="2" t="s">
        <v>478</v>
      </c>
      <c r="L1034" s="2" t="s">
        <v>14</v>
      </c>
      <c r="M1034" t="str">
        <f t="shared" si="91"/>
        <v>Schena Paolo</v>
      </c>
      <c r="Q1034" t="str">
        <f t="shared" si="90"/>
        <v>104550pnschena</v>
      </c>
    </row>
    <row r="1035" spans="1:17" hidden="1" x14ac:dyDescent="0.4">
      <c r="A1035">
        <v>1232</v>
      </c>
      <c r="B1035" s="2"/>
      <c r="C1035" s="4">
        <v>45908</v>
      </c>
      <c r="D1035" s="5">
        <v>0.375</v>
      </c>
      <c r="E1035" s="5">
        <v>0.4375</v>
      </c>
      <c r="F1035" s="2" t="s">
        <v>9</v>
      </c>
      <c r="G1035" s="2" t="s">
        <v>10</v>
      </c>
      <c r="H1035" s="2" t="s">
        <v>476</v>
      </c>
      <c r="I1035" s="2" t="s">
        <v>477</v>
      </c>
      <c r="J1035" s="2">
        <v>102916</v>
      </c>
      <c r="K1035" s="2" t="s">
        <v>478</v>
      </c>
      <c r="L1035" s="2" t="s">
        <v>14</v>
      </c>
      <c r="M1035" t="str">
        <f t="shared" si="91"/>
        <v>Schena Paolo</v>
      </c>
      <c r="Q1035" t="str">
        <f t="shared" si="90"/>
        <v>102916pnschena</v>
      </c>
    </row>
    <row r="1036" spans="1:17" hidden="1" x14ac:dyDescent="0.4">
      <c r="A1036">
        <v>1233</v>
      </c>
      <c r="B1036" s="2"/>
      <c r="C1036" s="4">
        <v>45909</v>
      </c>
      <c r="D1036" s="5">
        <v>0.5</v>
      </c>
      <c r="E1036" s="5">
        <v>0.54166666666666663</v>
      </c>
      <c r="F1036" s="2" t="s">
        <v>9</v>
      </c>
      <c r="G1036" s="2" t="s">
        <v>10</v>
      </c>
      <c r="H1036" s="2" t="s">
        <v>441</v>
      </c>
      <c r="I1036" s="2" t="s">
        <v>442</v>
      </c>
      <c r="J1036" s="2">
        <v>102753</v>
      </c>
      <c r="K1036" s="2" t="s">
        <v>443</v>
      </c>
      <c r="L1036" s="2" t="s">
        <v>14</v>
      </c>
      <c r="M1036" t="str">
        <f t="shared" si="91"/>
        <v>Noufel Nathan</v>
      </c>
      <c r="Q1036" t="str">
        <f t="shared" si="90"/>
        <v>102753nnoufel</v>
      </c>
    </row>
    <row r="1037" spans="1:17" hidden="1" x14ac:dyDescent="0.4">
      <c r="A1037">
        <v>1234</v>
      </c>
      <c r="B1037" s="2"/>
      <c r="C1037" s="4">
        <v>45909</v>
      </c>
      <c r="D1037" s="5">
        <v>0.5</v>
      </c>
      <c r="E1037" s="5">
        <v>0.54166666666666663</v>
      </c>
      <c r="F1037" s="2" t="s">
        <v>9</v>
      </c>
      <c r="G1037" s="2" t="s">
        <v>10</v>
      </c>
      <c r="H1037" s="2" t="s">
        <v>77</v>
      </c>
      <c r="I1037" s="2" t="s">
        <v>78</v>
      </c>
      <c r="J1037" s="2">
        <v>102753</v>
      </c>
      <c r="K1037" s="2" t="s">
        <v>79</v>
      </c>
      <c r="L1037" s="2" t="s">
        <v>14</v>
      </c>
      <c r="M1037" t="str">
        <f t="shared" si="91"/>
        <v>Olech Alexandre</v>
      </c>
      <c r="Q1037" t="str">
        <f t="shared" si="90"/>
        <v>102753aolech</v>
      </c>
    </row>
    <row r="1038" spans="1:17" hidden="1" x14ac:dyDescent="0.4">
      <c r="A1038">
        <v>1236</v>
      </c>
      <c r="B1038" s="2"/>
      <c r="C1038" s="4">
        <v>45908</v>
      </c>
      <c r="D1038" s="5">
        <v>0.58333333333333337</v>
      </c>
      <c r="E1038" s="5">
        <v>0.64583333333333337</v>
      </c>
      <c r="F1038" s="2" t="s">
        <v>9</v>
      </c>
      <c r="G1038" s="2" t="s">
        <v>10</v>
      </c>
      <c r="H1038" s="2" t="s">
        <v>536</v>
      </c>
      <c r="I1038" s="2" t="s">
        <v>537</v>
      </c>
      <c r="J1038" s="2">
        <v>104551</v>
      </c>
      <c r="K1038" s="2" t="s">
        <v>538</v>
      </c>
      <c r="L1038" s="2" t="s">
        <v>18</v>
      </c>
      <c r="M1038" t="str">
        <f t="shared" si="91"/>
        <v>Schuurman Solveig</v>
      </c>
      <c r="Q1038" t="str">
        <f t="shared" si="90"/>
        <v>104551sschuurman</v>
      </c>
    </row>
    <row r="1039" spans="1:17" hidden="1" x14ac:dyDescent="0.4">
      <c r="A1039">
        <v>1237</v>
      </c>
      <c r="B1039" s="2"/>
      <c r="C1039" s="4">
        <v>45908</v>
      </c>
      <c r="D1039" s="5">
        <v>0.47916666666666669</v>
      </c>
      <c r="E1039" s="5">
        <v>0.54166666666666663</v>
      </c>
      <c r="F1039" s="2" t="s">
        <v>9</v>
      </c>
      <c r="G1039" s="2" t="s">
        <v>10</v>
      </c>
      <c r="H1039" s="2" t="s">
        <v>536</v>
      </c>
      <c r="I1039" s="2" t="s">
        <v>537</v>
      </c>
      <c r="J1039" s="2">
        <v>104550</v>
      </c>
      <c r="K1039" s="2" t="s">
        <v>538</v>
      </c>
      <c r="L1039" s="2" t="s">
        <v>18</v>
      </c>
      <c r="M1039" t="str">
        <f t="shared" si="91"/>
        <v>Schuurman Solveig</v>
      </c>
      <c r="Q1039" t="str">
        <f t="shared" si="90"/>
        <v>104550sschuurman</v>
      </c>
    </row>
    <row r="1040" spans="1:17" hidden="1" x14ac:dyDescent="0.4">
      <c r="A1040">
        <v>1238</v>
      </c>
      <c r="B1040" s="2"/>
      <c r="C1040" s="4">
        <v>45908</v>
      </c>
      <c r="D1040" s="5">
        <v>0.375</v>
      </c>
      <c r="E1040" s="5">
        <v>0.4375</v>
      </c>
      <c r="F1040" s="2" t="s">
        <v>9</v>
      </c>
      <c r="G1040" s="2" t="s">
        <v>10</v>
      </c>
      <c r="H1040" s="2" t="s">
        <v>536</v>
      </c>
      <c r="I1040" s="2" t="s">
        <v>537</v>
      </c>
      <c r="J1040" s="2">
        <v>102916</v>
      </c>
      <c r="K1040" s="2" t="s">
        <v>538</v>
      </c>
      <c r="L1040" s="2" t="s">
        <v>18</v>
      </c>
      <c r="M1040" t="str">
        <f t="shared" si="91"/>
        <v>Schuurman Solveig</v>
      </c>
      <c r="Q1040" t="str">
        <f t="shared" si="90"/>
        <v>102916sschuurman</v>
      </c>
    </row>
    <row r="1041" spans="1:17" hidden="1" x14ac:dyDescent="0.4">
      <c r="A1041">
        <v>1239</v>
      </c>
      <c r="B1041" s="2"/>
      <c r="C1041" s="4">
        <v>45909</v>
      </c>
      <c r="D1041" s="5">
        <v>0.5</v>
      </c>
      <c r="E1041" s="5">
        <v>0.54166666666666663</v>
      </c>
      <c r="F1041" s="2" t="s">
        <v>9</v>
      </c>
      <c r="G1041" s="2" t="s">
        <v>10</v>
      </c>
      <c r="H1041" s="2" t="s">
        <v>36</v>
      </c>
      <c r="I1041" s="2" t="s">
        <v>37</v>
      </c>
      <c r="J1041" s="2">
        <v>102753</v>
      </c>
      <c r="K1041" s="2" t="s">
        <v>38</v>
      </c>
      <c r="L1041" s="2" t="s">
        <v>18</v>
      </c>
      <c r="M1041" t="str">
        <f t="shared" si="91"/>
        <v>Orthmann--Reichenbach Ariel, Eric</v>
      </c>
      <c r="Q1041" t="str">
        <f t="shared" si="90"/>
        <v>102753aeorthmannreichenbach</v>
      </c>
    </row>
    <row r="1042" spans="1:17" hidden="1" x14ac:dyDescent="0.4">
      <c r="A1042">
        <v>1240</v>
      </c>
      <c r="B1042" s="2"/>
      <c r="C1042" s="4">
        <v>45909</v>
      </c>
      <c r="D1042" s="5">
        <v>0.5</v>
      </c>
      <c r="E1042" s="5">
        <v>0.54166666666666663</v>
      </c>
      <c r="F1042" s="2" t="s">
        <v>9</v>
      </c>
      <c r="G1042" s="2" t="s">
        <v>10</v>
      </c>
      <c r="H1042" s="2" t="s">
        <v>235</v>
      </c>
      <c r="I1042" s="2" t="s">
        <v>236</v>
      </c>
      <c r="J1042" s="2">
        <v>102753</v>
      </c>
      <c r="K1042" s="2" t="s">
        <v>237</v>
      </c>
      <c r="L1042" s="2" t="s">
        <v>18</v>
      </c>
      <c r="M1042" t="str">
        <f t="shared" si="91"/>
        <v>Ozenne Henri</v>
      </c>
      <c r="Q1042" t="str">
        <f t="shared" si="90"/>
        <v>102753hozenne</v>
      </c>
    </row>
    <row r="1043" spans="1:17" hidden="1" x14ac:dyDescent="0.4">
      <c r="A1043">
        <v>1241</v>
      </c>
      <c r="B1043" s="2"/>
      <c r="C1043" s="4">
        <v>45908</v>
      </c>
      <c r="D1043" s="5">
        <v>0.66666666666666663</v>
      </c>
      <c r="E1043" s="5">
        <v>0.72916666666666663</v>
      </c>
      <c r="F1043" s="2" t="s">
        <v>9</v>
      </c>
      <c r="G1043" s="2" t="s">
        <v>10</v>
      </c>
      <c r="H1043" s="2" t="s">
        <v>397</v>
      </c>
      <c r="I1043" s="2" t="s">
        <v>398</v>
      </c>
      <c r="J1043" s="2">
        <v>104855</v>
      </c>
      <c r="K1043" s="2" t="s">
        <v>399</v>
      </c>
      <c r="L1043" s="2" t="s">
        <v>18</v>
      </c>
      <c r="M1043" t="str">
        <f>I1043 &amp; " " &amp; K1043</f>
        <v>Manon Sekfali-Bonnier</v>
      </c>
      <c r="Q1043" t="str">
        <f t="shared" si="90"/>
        <v>104855msekfalibonnier</v>
      </c>
    </row>
    <row r="1044" spans="1:17" hidden="1" x14ac:dyDescent="0.4">
      <c r="A1044">
        <v>1243</v>
      </c>
      <c r="B1044" s="2"/>
      <c r="C1044" s="4">
        <v>45908</v>
      </c>
      <c r="D1044" s="5">
        <v>0.58333333333333337</v>
      </c>
      <c r="E1044" s="5">
        <v>0.64583333333333337</v>
      </c>
      <c r="F1044" s="2" t="s">
        <v>9</v>
      </c>
      <c r="G1044" s="2" t="s">
        <v>10</v>
      </c>
      <c r="H1044" s="2" t="s">
        <v>397</v>
      </c>
      <c r="I1044" s="2" t="s">
        <v>398</v>
      </c>
      <c r="J1044" s="2">
        <v>104551</v>
      </c>
      <c r="K1044" s="2" t="s">
        <v>399</v>
      </c>
      <c r="L1044" s="2" t="s">
        <v>18</v>
      </c>
      <c r="M1044" t="str">
        <f>I1044 &amp; " " &amp; K1044</f>
        <v>Manon Sekfali-Bonnier</v>
      </c>
      <c r="Q1044" t="str">
        <f t="shared" si="90"/>
        <v>104551msekfalibonnier</v>
      </c>
    </row>
    <row r="1045" spans="1:17" hidden="1" x14ac:dyDescent="0.4">
      <c r="A1045">
        <v>1244</v>
      </c>
      <c r="B1045" s="2"/>
      <c r="C1045" s="4">
        <v>45908</v>
      </c>
      <c r="D1045" s="5">
        <v>0.47916666666666669</v>
      </c>
      <c r="E1045" s="5">
        <v>0.54166666666666663</v>
      </c>
      <c r="F1045" s="2" t="s">
        <v>9</v>
      </c>
      <c r="G1045" s="2" t="s">
        <v>10</v>
      </c>
      <c r="H1045" s="2" t="s">
        <v>397</v>
      </c>
      <c r="I1045" s="2" t="s">
        <v>398</v>
      </c>
      <c r="J1045" s="2">
        <v>104550</v>
      </c>
      <c r="K1045" s="2" t="s">
        <v>399</v>
      </c>
      <c r="L1045" s="2" t="s">
        <v>18</v>
      </c>
      <c r="M1045" t="str">
        <f>I1045 &amp; " " &amp; K1045</f>
        <v>Manon Sekfali-Bonnier</v>
      </c>
      <c r="Q1045" t="str">
        <f t="shared" si="90"/>
        <v>104550msekfalibonnier</v>
      </c>
    </row>
    <row r="1046" spans="1:17" hidden="1" x14ac:dyDescent="0.4">
      <c r="A1046">
        <v>1245</v>
      </c>
      <c r="B1046" s="2"/>
      <c r="C1046" s="4">
        <v>45908</v>
      </c>
      <c r="D1046" s="5">
        <v>0.375</v>
      </c>
      <c r="E1046" s="5">
        <v>0.4375</v>
      </c>
      <c r="F1046" s="2" t="s">
        <v>9</v>
      </c>
      <c r="G1046" s="2" t="s">
        <v>10</v>
      </c>
      <c r="H1046" s="2" t="s">
        <v>397</v>
      </c>
      <c r="I1046" s="2" t="s">
        <v>398</v>
      </c>
      <c r="J1046" s="2">
        <v>102916</v>
      </c>
      <c r="K1046" s="2" t="s">
        <v>399</v>
      </c>
      <c r="L1046" s="2" t="s">
        <v>18</v>
      </c>
      <c r="M1046" t="str">
        <f>K1046 &amp; " " &amp; I1046</f>
        <v>Sekfali-Bonnier Manon</v>
      </c>
      <c r="Q1046" t="str">
        <f t="shared" si="90"/>
        <v>102916msekfalibonnier</v>
      </c>
    </row>
    <row r="1047" spans="1:17" hidden="1" x14ac:dyDescent="0.4">
      <c r="A1047">
        <v>1246</v>
      </c>
      <c r="B1047" s="2"/>
      <c r="C1047" s="4">
        <v>45909</v>
      </c>
      <c r="D1047" s="5">
        <v>0.5</v>
      </c>
      <c r="E1047" s="5">
        <v>0.54166666666666663</v>
      </c>
      <c r="F1047" s="2" t="s">
        <v>9</v>
      </c>
      <c r="G1047" s="2" t="s">
        <v>10</v>
      </c>
      <c r="H1047" s="2" t="s">
        <v>531</v>
      </c>
      <c r="I1047" s="2" t="s">
        <v>532</v>
      </c>
      <c r="J1047" s="2">
        <v>102753</v>
      </c>
      <c r="K1047" s="2" t="s">
        <v>533</v>
      </c>
      <c r="L1047" s="2" t="s">
        <v>18</v>
      </c>
      <c r="M1047" t="str">
        <f t="shared" ref="M1047:M1052" si="92">I1047 &amp; " " &amp; K1047</f>
        <v>Siah Park</v>
      </c>
      <c r="Q1047" t="str">
        <f t="shared" si="90"/>
        <v>102753spark</v>
      </c>
    </row>
    <row r="1048" spans="1:17" hidden="1" x14ac:dyDescent="0.4">
      <c r="A1048">
        <v>1247</v>
      </c>
      <c r="B1048" s="2"/>
      <c r="C1048" s="4">
        <v>45909</v>
      </c>
      <c r="D1048" s="5">
        <v>0.5</v>
      </c>
      <c r="E1048" s="5">
        <v>0.54166666666666663</v>
      </c>
      <c r="F1048" s="2" t="s">
        <v>9</v>
      </c>
      <c r="G1048" s="2" t="s">
        <v>10</v>
      </c>
      <c r="H1048" s="2" t="s">
        <v>386</v>
      </c>
      <c r="I1048" s="2" t="s">
        <v>387</v>
      </c>
      <c r="J1048" s="2">
        <v>102753</v>
      </c>
      <c r="K1048" s="2" t="s">
        <v>388</v>
      </c>
      <c r="L1048" s="2" t="s">
        <v>18</v>
      </c>
      <c r="M1048" t="str">
        <f t="shared" si="92"/>
        <v>Miho Pascal</v>
      </c>
      <c r="Q1048" t="str">
        <f t="shared" si="90"/>
        <v>102753mpascal1</v>
      </c>
    </row>
    <row r="1049" spans="1:17" hidden="1" x14ac:dyDescent="0.4">
      <c r="A1049">
        <v>1248</v>
      </c>
      <c r="B1049" s="2"/>
      <c r="C1049" s="4">
        <v>45908</v>
      </c>
      <c r="D1049" s="5">
        <v>0.66666666666666663</v>
      </c>
      <c r="E1049" s="5">
        <v>0.72916666666666663</v>
      </c>
      <c r="F1049" s="2" t="s">
        <v>9</v>
      </c>
      <c r="G1049" s="2" t="s">
        <v>10</v>
      </c>
      <c r="H1049" s="2" t="s">
        <v>400</v>
      </c>
      <c r="I1049" s="2" t="s">
        <v>401</v>
      </c>
      <c r="J1049" s="2">
        <v>104855</v>
      </c>
      <c r="K1049" s="2" t="s">
        <v>402</v>
      </c>
      <c r="L1049" s="2" t="s">
        <v>18</v>
      </c>
      <c r="M1049" t="str">
        <f t="shared" si="92"/>
        <v>Mai Seto</v>
      </c>
      <c r="Q1049" t="str">
        <f t="shared" si="90"/>
        <v>104855mseto</v>
      </c>
    </row>
    <row r="1050" spans="1:17" hidden="1" x14ac:dyDescent="0.4">
      <c r="A1050">
        <v>1250</v>
      </c>
      <c r="B1050" s="2"/>
      <c r="C1050" s="4">
        <v>45908</v>
      </c>
      <c r="D1050" s="5">
        <v>0.58333333333333337</v>
      </c>
      <c r="E1050" s="5">
        <v>0.64583333333333337</v>
      </c>
      <c r="F1050" s="2" t="s">
        <v>9</v>
      </c>
      <c r="G1050" s="2" t="s">
        <v>10</v>
      </c>
      <c r="H1050" s="2" t="s">
        <v>400</v>
      </c>
      <c r="I1050" s="2" t="s">
        <v>401</v>
      </c>
      <c r="J1050" s="2">
        <v>104551</v>
      </c>
      <c r="K1050" s="2" t="s">
        <v>402</v>
      </c>
      <c r="L1050" s="2" t="s">
        <v>18</v>
      </c>
      <c r="M1050" t="str">
        <f t="shared" si="92"/>
        <v>Mai Seto</v>
      </c>
      <c r="Q1050" t="str">
        <f t="shared" si="90"/>
        <v>104551mseto</v>
      </c>
    </row>
    <row r="1051" spans="1:17" hidden="1" x14ac:dyDescent="0.4">
      <c r="A1051">
        <v>1251</v>
      </c>
      <c r="B1051" s="2"/>
      <c r="C1051" s="4">
        <v>45908</v>
      </c>
      <c r="D1051" s="5">
        <v>0.47916666666666669</v>
      </c>
      <c r="E1051" s="5">
        <v>0.54166666666666663</v>
      </c>
      <c r="F1051" s="2" t="s">
        <v>9</v>
      </c>
      <c r="G1051" s="2" t="s">
        <v>10</v>
      </c>
      <c r="H1051" s="2" t="s">
        <v>400</v>
      </c>
      <c r="I1051" s="2" t="s">
        <v>401</v>
      </c>
      <c r="J1051" s="2">
        <v>104550</v>
      </c>
      <c r="K1051" s="2" t="s">
        <v>402</v>
      </c>
      <c r="L1051" s="2" t="s">
        <v>18</v>
      </c>
      <c r="M1051" t="str">
        <f t="shared" si="92"/>
        <v>Mai Seto</v>
      </c>
      <c r="Q1051" t="str">
        <f t="shared" si="90"/>
        <v>104550mseto</v>
      </c>
    </row>
    <row r="1052" spans="1:17" hidden="1" x14ac:dyDescent="0.4">
      <c r="A1052">
        <v>1252</v>
      </c>
      <c r="B1052" s="2"/>
      <c r="C1052" s="4">
        <v>45908</v>
      </c>
      <c r="D1052" s="5">
        <v>0.375</v>
      </c>
      <c r="E1052" s="5">
        <v>0.4375</v>
      </c>
      <c r="F1052" s="2" t="s">
        <v>9</v>
      </c>
      <c r="G1052" s="2" t="s">
        <v>10</v>
      </c>
      <c r="H1052" s="2" t="s">
        <v>400</v>
      </c>
      <c r="I1052" s="2" t="s">
        <v>401</v>
      </c>
      <c r="J1052" s="2">
        <v>102916</v>
      </c>
      <c r="K1052" s="2" t="s">
        <v>402</v>
      </c>
      <c r="L1052" s="2" t="s">
        <v>18</v>
      </c>
      <c r="M1052" t="str">
        <f t="shared" si="92"/>
        <v>Mai Seto</v>
      </c>
      <c r="Q1052" t="str">
        <f t="shared" si="90"/>
        <v>102916mseto</v>
      </c>
    </row>
    <row r="1053" spans="1:17" hidden="1" x14ac:dyDescent="0.4">
      <c r="A1053">
        <v>1253</v>
      </c>
      <c r="B1053" s="2"/>
      <c r="C1053" s="4">
        <v>45909</v>
      </c>
      <c r="D1053" s="5">
        <v>0.5</v>
      </c>
      <c r="E1053" s="5">
        <v>0.54166666666666663</v>
      </c>
      <c r="F1053" s="2" t="s">
        <v>9</v>
      </c>
      <c r="G1053" s="2" t="s">
        <v>10</v>
      </c>
      <c r="H1053" s="2" t="s">
        <v>105</v>
      </c>
      <c r="I1053" s="2" t="s">
        <v>97</v>
      </c>
      <c r="J1053" s="2">
        <v>102753</v>
      </c>
      <c r="K1053" s="2" t="s">
        <v>106</v>
      </c>
      <c r="L1053" s="2" t="s">
        <v>14</v>
      </c>
      <c r="M1053" t="str">
        <f>K1053 &amp; " " &amp; I1053</f>
        <v>Pauvert Clément</v>
      </c>
      <c r="Q1053" t="str">
        <f t="shared" si="90"/>
        <v>102753cpauvert</v>
      </c>
    </row>
    <row r="1054" spans="1:17" hidden="1" x14ac:dyDescent="0.4">
      <c r="A1054">
        <v>1254</v>
      </c>
      <c r="B1054" s="2"/>
      <c r="C1054" s="4">
        <v>45909</v>
      </c>
      <c r="D1054" s="5">
        <v>0.5</v>
      </c>
      <c r="E1054" s="5">
        <v>0.54166666666666663</v>
      </c>
      <c r="F1054" s="2" t="s">
        <v>9</v>
      </c>
      <c r="G1054" s="2" t="s">
        <v>10</v>
      </c>
      <c r="H1054" s="2" t="s">
        <v>534</v>
      </c>
      <c r="I1054" s="2" t="s">
        <v>523</v>
      </c>
      <c r="J1054" s="2">
        <v>102753</v>
      </c>
      <c r="K1054" s="2" t="s">
        <v>535</v>
      </c>
      <c r="L1054" s="2" t="s">
        <v>18</v>
      </c>
      <c r="M1054" t="str">
        <f>I1054 &amp; " " &amp; K1054</f>
        <v>Sarah Pérarnaud Aramendi</v>
      </c>
      <c r="Q1054" t="str">
        <f t="shared" si="90"/>
        <v>102753sperarnaudaramendi</v>
      </c>
    </row>
    <row r="1055" spans="1:17" hidden="1" x14ac:dyDescent="0.4">
      <c r="A1055">
        <v>1255</v>
      </c>
      <c r="B1055" s="2"/>
      <c r="C1055" s="4">
        <v>45908</v>
      </c>
      <c r="D1055" s="5">
        <v>0.66666666666666663</v>
      </c>
      <c r="E1055" s="5">
        <v>0.72916666666666663</v>
      </c>
      <c r="F1055" s="2" t="s">
        <v>9</v>
      </c>
      <c r="G1055" s="2" t="s">
        <v>10</v>
      </c>
      <c r="H1055" s="2" t="s">
        <v>184</v>
      </c>
      <c r="I1055" s="2" t="s">
        <v>185</v>
      </c>
      <c r="J1055" s="2">
        <v>104855</v>
      </c>
      <c r="K1055" s="2" t="s">
        <v>186</v>
      </c>
      <c r="L1055" s="2" t="s">
        <v>18</v>
      </c>
      <c r="M1055" t="str">
        <f>I1055 &amp; " " &amp; K1055</f>
        <v>Elisio Sezestre</v>
      </c>
      <c r="Q1055" t="str">
        <f t="shared" si="90"/>
        <v>104855esezestre</v>
      </c>
    </row>
    <row r="1056" spans="1:17" hidden="1" x14ac:dyDescent="0.4">
      <c r="A1056">
        <v>1257</v>
      </c>
      <c r="B1056" s="2"/>
      <c r="C1056" s="4">
        <v>45908</v>
      </c>
      <c r="D1056" s="5">
        <v>0.58333333333333337</v>
      </c>
      <c r="E1056" s="5">
        <v>0.64583333333333337</v>
      </c>
      <c r="F1056" s="2" t="s">
        <v>9</v>
      </c>
      <c r="G1056" s="2" t="s">
        <v>10</v>
      </c>
      <c r="H1056" s="2" t="s">
        <v>184</v>
      </c>
      <c r="I1056" s="2" t="s">
        <v>185</v>
      </c>
      <c r="J1056" s="2">
        <v>104551</v>
      </c>
      <c r="K1056" s="2" t="s">
        <v>186</v>
      </c>
      <c r="L1056" s="2" t="s">
        <v>18</v>
      </c>
      <c r="M1056" t="str">
        <f>I1056 &amp; " " &amp; K1056</f>
        <v>Elisio Sezestre</v>
      </c>
      <c r="Q1056" t="str">
        <f t="shared" si="90"/>
        <v>104551esezestre</v>
      </c>
    </row>
    <row r="1057" spans="1:17" hidden="1" x14ac:dyDescent="0.4">
      <c r="A1057">
        <v>1258</v>
      </c>
      <c r="B1057" s="2"/>
      <c r="C1057" s="4">
        <v>45908</v>
      </c>
      <c r="D1057" s="5">
        <v>0.47916666666666669</v>
      </c>
      <c r="E1057" s="5">
        <v>0.54166666666666663</v>
      </c>
      <c r="F1057" s="2" t="s">
        <v>9</v>
      </c>
      <c r="G1057" s="2" t="s">
        <v>10</v>
      </c>
      <c r="H1057" s="2" t="s">
        <v>184</v>
      </c>
      <c r="I1057" s="2" t="s">
        <v>185</v>
      </c>
      <c r="J1057" s="2">
        <v>104550</v>
      </c>
      <c r="K1057" s="2" t="s">
        <v>186</v>
      </c>
      <c r="L1057" s="2" t="s">
        <v>18</v>
      </c>
      <c r="M1057" t="str">
        <f>I1057 &amp; " " &amp; K1057</f>
        <v>Elisio Sezestre</v>
      </c>
      <c r="Q1057" t="str">
        <f t="shared" si="90"/>
        <v>104550esezestre</v>
      </c>
    </row>
    <row r="1058" spans="1:17" hidden="1" x14ac:dyDescent="0.4">
      <c r="A1058">
        <v>1259</v>
      </c>
      <c r="B1058" s="2"/>
      <c r="C1058" s="4">
        <v>45908</v>
      </c>
      <c r="D1058" s="5">
        <v>0.375</v>
      </c>
      <c r="E1058" s="5">
        <v>0.4375</v>
      </c>
      <c r="F1058" s="2" t="s">
        <v>9</v>
      </c>
      <c r="G1058" s="2" t="s">
        <v>10</v>
      </c>
      <c r="H1058" s="2" t="s">
        <v>184</v>
      </c>
      <c r="I1058" s="2" t="s">
        <v>185</v>
      </c>
      <c r="J1058" s="2">
        <v>102916</v>
      </c>
      <c r="K1058" s="2" t="s">
        <v>186</v>
      </c>
      <c r="L1058" s="2" t="s">
        <v>18</v>
      </c>
      <c r="M1058" t="str">
        <f>K1058 &amp; " " &amp; I1058</f>
        <v>Sezestre Elisio</v>
      </c>
      <c r="Q1058" t="str">
        <f t="shared" si="90"/>
        <v>102916esezestre</v>
      </c>
    </row>
    <row r="1059" spans="1:17" hidden="1" x14ac:dyDescent="0.4">
      <c r="A1059">
        <v>1260</v>
      </c>
      <c r="B1059" s="2"/>
      <c r="C1059" s="4">
        <v>45909</v>
      </c>
      <c r="D1059" s="5">
        <v>0.5</v>
      </c>
      <c r="E1059" s="5">
        <v>0.54166666666666663</v>
      </c>
      <c r="F1059" s="2" t="s">
        <v>9</v>
      </c>
      <c r="G1059" s="2" t="s">
        <v>10</v>
      </c>
      <c r="H1059" s="2" t="s">
        <v>293</v>
      </c>
      <c r="I1059" s="2" t="s">
        <v>273</v>
      </c>
      <c r="J1059" s="2">
        <v>102753</v>
      </c>
      <c r="K1059" s="2" t="s">
        <v>294</v>
      </c>
      <c r="L1059" s="2" t="s">
        <v>14</v>
      </c>
      <c r="M1059" t="str">
        <f>K1059 &amp; " " &amp; I1059</f>
        <v>Perez Jules</v>
      </c>
      <c r="Q1059" t="str">
        <f t="shared" si="90"/>
        <v>102753jperez1</v>
      </c>
    </row>
    <row r="1060" spans="1:17" hidden="1" x14ac:dyDescent="0.4">
      <c r="A1060">
        <v>1261</v>
      </c>
      <c r="B1060" s="2"/>
      <c r="C1060" s="4">
        <v>45909</v>
      </c>
      <c r="D1060" s="5">
        <v>0.5</v>
      </c>
      <c r="E1060" s="5">
        <v>0.54166666666666663</v>
      </c>
      <c r="F1060" s="2" t="s">
        <v>9</v>
      </c>
      <c r="G1060" s="2" t="s">
        <v>10</v>
      </c>
      <c r="H1060" s="2" t="s">
        <v>80</v>
      </c>
      <c r="I1060" s="2" t="s">
        <v>81</v>
      </c>
      <c r="J1060" s="2">
        <v>102753</v>
      </c>
      <c r="K1060" s="2" t="s">
        <v>82</v>
      </c>
      <c r="L1060" s="2" t="s">
        <v>18</v>
      </c>
      <c r="M1060" t="str">
        <f>I1060 &amp; " " &amp; K1060</f>
        <v>Armand Pesnel</v>
      </c>
      <c r="Q1060" t="str">
        <f t="shared" si="90"/>
        <v>102753apesnel</v>
      </c>
    </row>
    <row r="1061" spans="1:17" hidden="1" x14ac:dyDescent="0.4">
      <c r="A1061">
        <v>1262</v>
      </c>
      <c r="B1061" s="2"/>
      <c r="C1061" s="4">
        <v>45908</v>
      </c>
      <c r="D1061" s="5">
        <v>0.66666666666666663</v>
      </c>
      <c r="E1061" s="5">
        <v>0.72916666666666663</v>
      </c>
      <c r="F1061" s="2" t="s">
        <v>9</v>
      </c>
      <c r="G1061" s="2" t="s">
        <v>10</v>
      </c>
      <c r="H1061" s="2" t="s">
        <v>403</v>
      </c>
      <c r="I1061" s="2" t="s">
        <v>404</v>
      </c>
      <c r="J1061" s="2">
        <v>104855</v>
      </c>
      <c r="K1061" s="2" t="s">
        <v>405</v>
      </c>
      <c r="L1061" s="2" t="s">
        <v>18</v>
      </c>
      <c r="M1061" t="str">
        <f>I1061 &amp; " " &amp; K1061</f>
        <v>Marina Shcherbina</v>
      </c>
      <c r="Q1061" t="str">
        <f t="shared" si="90"/>
        <v>104855mshcherbina</v>
      </c>
    </row>
    <row r="1062" spans="1:17" hidden="1" x14ac:dyDescent="0.4">
      <c r="A1062">
        <v>1264</v>
      </c>
      <c r="B1062" s="2"/>
      <c r="C1062" s="4">
        <v>45908</v>
      </c>
      <c r="D1062" s="5">
        <v>0.58333333333333337</v>
      </c>
      <c r="E1062" s="5">
        <v>0.64583333333333337</v>
      </c>
      <c r="F1062" s="2" t="s">
        <v>9</v>
      </c>
      <c r="G1062" s="2" t="s">
        <v>10</v>
      </c>
      <c r="H1062" s="2" t="s">
        <v>403</v>
      </c>
      <c r="I1062" s="2" t="s">
        <v>404</v>
      </c>
      <c r="J1062" s="2">
        <v>104551</v>
      </c>
      <c r="K1062" s="2" t="s">
        <v>405</v>
      </c>
      <c r="L1062" s="2" t="s">
        <v>18</v>
      </c>
      <c r="M1062" t="str">
        <f>I1062 &amp; " " &amp; K1062</f>
        <v>Marina Shcherbina</v>
      </c>
      <c r="Q1062" t="str">
        <f t="shared" si="90"/>
        <v>104551mshcherbina</v>
      </c>
    </row>
    <row r="1063" spans="1:17" hidden="1" x14ac:dyDescent="0.4">
      <c r="A1063">
        <v>1265</v>
      </c>
      <c r="B1063" s="2"/>
      <c r="C1063" s="4">
        <v>45908</v>
      </c>
      <c r="D1063" s="5">
        <v>0.47916666666666669</v>
      </c>
      <c r="E1063" s="5">
        <v>0.54166666666666663</v>
      </c>
      <c r="F1063" s="2" t="s">
        <v>9</v>
      </c>
      <c r="G1063" s="2" t="s">
        <v>10</v>
      </c>
      <c r="H1063" s="2" t="s">
        <v>403</v>
      </c>
      <c r="I1063" s="2" t="s">
        <v>404</v>
      </c>
      <c r="J1063" s="2">
        <v>104550</v>
      </c>
      <c r="K1063" s="2" t="s">
        <v>405</v>
      </c>
      <c r="L1063" s="2" t="s">
        <v>18</v>
      </c>
      <c r="M1063" t="str">
        <f>I1063 &amp; " " &amp; K1063</f>
        <v>Marina Shcherbina</v>
      </c>
      <c r="Q1063" t="str">
        <f t="shared" si="90"/>
        <v>104550mshcherbina</v>
      </c>
    </row>
    <row r="1064" spans="1:17" hidden="1" x14ac:dyDescent="0.4">
      <c r="A1064">
        <v>1266</v>
      </c>
      <c r="B1064" s="2"/>
      <c r="C1064" s="4">
        <v>45908</v>
      </c>
      <c r="D1064" s="5">
        <v>0.375</v>
      </c>
      <c r="E1064" s="5">
        <v>0.4375</v>
      </c>
      <c r="F1064" s="2" t="s">
        <v>9</v>
      </c>
      <c r="G1064" s="2" t="s">
        <v>10</v>
      </c>
      <c r="H1064" s="2" t="s">
        <v>403</v>
      </c>
      <c r="I1064" s="2" t="s">
        <v>404</v>
      </c>
      <c r="J1064" s="2">
        <v>102916</v>
      </c>
      <c r="K1064" s="2" t="s">
        <v>405</v>
      </c>
      <c r="L1064" s="2" t="s">
        <v>18</v>
      </c>
      <c r="M1064" t="str">
        <f>K1064 &amp; " " &amp; I1064</f>
        <v>Shcherbina Marina</v>
      </c>
      <c r="Q1064" t="str">
        <f t="shared" si="90"/>
        <v>102916mshcherbina</v>
      </c>
    </row>
    <row r="1065" spans="1:17" hidden="1" x14ac:dyDescent="0.4">
      <c r="A1065">
        <v>1267</v>
      </c>
      <c r="B1065" s="2"/>
      <c r="C1065" s="4">
        <v>45909</v>
      </c>
      <c r="D1065" s="5">
        <v>0.5</v>
      </c>
      <c r="E1065" s="5">
        <v>0.54166666666666663</v>
      </c>
      <c r="F1065" s="2" t="s">
        <v>9</v>
      </c>
      <c r="G1065" s="2" t="s">
        <v>10</v>
      </c>
      <c r="H1065" s="2" t="s">
        <v>83</v>
      </c>
      <c r="I1065" s="2" t="s">
        <v>31</v>
      </c>
      <c r="J1065" s="2">
        <v>102753</v>
      </c>
      <c r="K1065" s="2" t="s">
        <v>84</v>
      </c>
      <c r="L1065" s="2" t="s">
        <v>18</v>
      </c>
      <c r="M1065" t="str">
        <f>I1065 &amp; " " &amp; K1065</f>
        <v>Antoine Pichard</v>
      </c>
      <c r="Q1065" t="str">
        <f t="shared" si="90"/>
        <v>102753apichard</v>
      </c>
    </row>
    <row r="1066" spans="1:17" hidden="1" x14ac:dyDescent="0.4">
      <c r="A1066">
        <v>1268</v>
      </c>
      <c r="B1066" s="2"/>
      <c r="C1066" s="4">
        <v>45909</v>
      </c>
      <c r="D1066" s="5">
        <v>0.5</v>
      </c>
      <c r="E1066" s="5">
        <v>0.54166666666666663</v>
      </c>
      <c r="F1066" s="2" t="s">
        <v>9</v>
      </c>
      <c r="G1066" s="2" t="s">
        <v>10</v>
      </c>
      <c r="H1066" s="2" t="s">
        <v>389</v>
      </c>
      <c r="I1066" s="2" t="s">
        <v>378</v>
      </c>
      <c r="J1066" s="2">
        <v>102753</v>
      </c>
      <c r="K1066" s="2" t="s">
        <v>390</v>
      </c>
      <c r="L1066" s="2" t="s">
        <v>18</v>
      </c>
      <c r="M1066" t="str">
        <f>K1066 &amp; " " &amp; I1066</f>
        <v>Plait Mélodie</v>
      </c>
      <c r="Q1066" t="str">
        <f t="shared" si="90"/>
        <v>102753mplait</v>
      </c>
    </row>
    <row r="1067" spans="1:17" hidden="1" x14ac:dyDescent="0.4">
      <c r="A1067">
        <v>1270</v>
      </c>
      <c r="B1067" s="2"/>
      <c r="C1067" s="4">
        <v>45908</v>
      </c>
      <c r="D1067" s="5">
        <v>0.58333333333333337</v>
      </c>
      <c r="E1067" s="5">
        <v>0.64583333333333337</v>
      </c>
      <c r="F1067" s="2" t="s">
        <v>9</v>
      </c>
      <c r="G1067" s="2" t="s">
        <v>10</v>
      </c>
      <c r="H1067" s="2" t="s">
        <v>539</v>
      </c>
      <c r="I1067" s="2" t="s">
        <v>540</v>
      </c>
      <c r="J1067" s="2">
        <v>104551</v>
      </c>
      <c r="K1067" s="2" t="s">
        <v>541</v>
      </c>
      <c r="L1067" s="2" t="s">
        <v>14</v>
      </c>
      <c r="M1067" t="str">
        <f>K1067 &amp; " " &amp; I1067</f>
        <v>Shin Sungwon</v>
      </c>
      <c r="Q1067" t="str">
        <f t="shared" si="90"/>
        <v>104551sshin</v>
      </c>
    </row>
    <row r="1068" spans="1:17" hidden="1" x14ac:dyDescent="0.4">
      <c r="A1068">
        <v>1271</v>
      </c>
      <c r="B1068" s="2"/>
      <c r="C1068" s="4">
        <v>45908</v>
      </c>
      <c r="D1068" s="5">
        <v>0.47916666666666669</v>
      </c>
      <c r="E1068" s="5">
        <v>0.54166666666666663</v>
      </c>
      <c r="F1068" s="2" t="s">
        <v>9</v>
      </c>
      <c r="G1068" s="2" t="s">
        <v>10</v>
      </c>
      <c r="H1068" s="2" t="s">
        <v>539</v>
      </c>
      <c r="I1068" s="2" t="s">
        <v>540</v>
      </c>
      <c r="J1068" s="2">
        <v>104550</v>
      </c>
      <c r="K1068" s="2" t="s">
        <v>541</v>
      </c>
      <c r="L1068" s="2" t="s">
        <v>14</v>
      </c>
      <c r="M1068" t="str">
        <f>K1068 &amp; " " &amp; I1068</f>
        <v>Shin Sungwon</v>
      </c>
      <c r="Q1068" t="str">
        <f t="shared" si="90"/>
        <v>104550sshin</v>
      </c>
    </row>
    <row r="1069" spans="1:17" hidden="1" x14ac:dyDescent="0.4">
      <c r="A1069">
        <v>1272</v>
      </c>
      <c r="B1069" s="2"/>
      <c r="C1069" s="4">
        <v>45908</v>
      </c>
      <c r="D1069" s="5">
        <v>0.375</v>
      </c>
      <c r="E1069" s="5">
        <v>0.4375</v>
      </c>
      <c r="F1069" s="2" t="s">
        <v>9</v>
      </c>
      <c r="G1069" s="2" t="s">
        <v>10</v>
      </c>
      <c r="H1069" s="2" t="s">
        <v>539</v>
      </c>
      <c r="I1069" s="2" t="s">
        <v>540</v>
      </c>
      <c r="J1069" s="2">
        <v>102916</v>
      </c>
      <c r="K1069" s="2" t="s">
        <v>541</v>
      </c>
      <c r="L1069" s="2" t="s">
        <v>14</v>
      </c>
      <c r="M1069" t="str">
        <f>K1069 &amp; " " &amp; I1069</f>
        <v>Shin Sungwon</v>
      </c>
      <c r="Q1069" t="str">
        <f t="shared" si="90"/>
        <v>102916sshin</v>
      </c>
    </row>
    <row r="1070" spans="1:17" hidden="1" x14ac:dyDescent="0.4">
      <c r="A1070">
        <v>1273</v>
      </c>
      <c r="B1070" s="2"/>
      <c r="C1070" s="4">
        <v>45909</v>
      </c>
      <c r="D1070" s="5">
        <v>0.5</v>
      </c>
      <c r="E1070" s="5">
        <v>0.54166666666666663</v>
      </c>
      <c r="F1070" s="2" t="s">
        <v>9</v>
      </c>
      <c r="G1070" s="2" t="s">
        <v>10</v>
      </c>
      <c r="H1070" s="2" t="s">
        <v>391</v>
      </c>
      <c r="I1070" s="2" t="s">
        <v>392</v>
      </c>
      <c r="J1070" s="2">
        <v>102753</v>
      </c>
      <c r="K1070" s="2" t="s">
        <v>393</v>
      </c>
      <c r="L1070" s="2" t="s">
        <v>18</v>
      </c>
      <c r="M1070" t="str">
        <f t="shared" ref="M1070:M1075" si="93">I1070 &amp; " " &amp; K1070</f>
        <v>Morgane Plassard</v>
      </c>
      <c r="Q1070" t="str">
        <f t="shared" si="90"/>
        <v>102753mplassard1</v>
      </c>
    </row>
    <row r="1071" spans="1:17" hidden="1" x14ac:dyDescent="0.4">
      <c r="A1071">
        <v>1274</v>
      </c>
      <c r="B1071" s="2"/>
      <c r="C1071" s="4">
        <v>45909</v>
      </c>
      <c r="D1071" s="5">
        <v>0.5</v>
      </c>
      <c r="E1071" s="5">
        <v>0.54166666666666663</v>
      </c>
      <c r="F1071" s="2" t="s">
        <v>9</v>
      </c>
      <c r="G1071" s="2" t="s">
        <v>10</v>
      </c>
      <c r="H1071" s="2" t="s">
        <v>295</v>
      </c>
      <c r="I1071" s="2" t="s">
        <v>296</v>
      </c>
      <c r="J1071" s="2">
        <v>102753</v>
      </c>
      <c r="K1071" s="2" t="s">
        <v>297</v>
      </c>
      <c r="L1071" s="2" t="s">
        <v>18</v>
      </c>
      <c r="M1071" t="str">
        <f t="shared" si="93"/>
        <v>Josserand Poumes</v>
      </c>
      <c r="Q1071" t="str">
        <f t="shared" si="90"/>
        <v>102753jpoumes</v>
      </c>
    </row>
    <row r="1072" spans="1:17" hidden="1" x14ac:dyDescent="0.4">
      <c r="A1072">
        <v>1275</v>
      </c>
      <c r="B1072" s="2"/>
      <c r="C1072" s="4">
        <v>45908</v>
      </c>
      <c r="D1072" s="5">
        <v>0.66666666666666663</v>
      </c>
      <c r="E1072" s="5">
        <v>0.72916666666666663</v>
      </c>
      <c r="F1072" s="2" t="s">
        <v>9</v>
      </c>
      <c r="G1072" s="2" t="s">
        <v>10</v>
      </c>
      <c r="H1072" s="2" t="s">
        <v>406</v>
      </c>
      <c r="I1072" s="2" t="s">
        <v>407</v>
      </c>
      <c r="J1072" s="2">
        <v>104855</v>
      </c>
      <c r="K1072" s="2" t="s">
        <v>408</v>
      </c>
      <c r="L1072" s="2" t="s">
        <v>18</v>
      </c>
      <c r="M1072" t="str">
        <f t="shared" si="93"/>
        <v>Masaki Shiozawa</v>
      </c>
      <c r="Q1072" t="str">
        <f t="shared" si="90"/>
        <v>104855mshiozawa</v>
      </c>
    </row>
    <row r="1073" spans="1:17" hidden="1" x14ac:dyDescent="0.4">
      <c r="A1073">
        <v>1277</v>
      </c>
      <c r="B1073" s="2"/>
      <c r="C1073" s="4">
        <v>45908</v>
      </c>
      <c r="D1073" s="5">
        <v>0.58333333333333337</v>
      </c>
      <c r="E1073" s="5">
        <v>0.64583333333333337</v>
      </c>
      <c r="F1073" s="2" t="s">
        <v>9</v>
      </c>
      <c r="G1073" s="2" t="s">
        <v>10</v>
      </c>
      <c r="H1073" s="2" t="s">
        <v>406</v>
      </c>
      <c r="I1073" s="2" t="s">
        <v>407</v>
      </c>
      <c r="J1073" s="2">
        <v>104551</v>
      </c>
      <c r="K1073" s="2" t="s">
        <v>408</v>
      </c>
      <c r="L1073" s="2" t="s">
        <v>18</v>
      </c>
      <c r="M1073" t="str">
        <f t="shared" si="93"/>
        <v>Masaki Shiozawa</v>
      </c>
      <c r="Q1073" t="str">
        <f t="shared" si="90"/>
        <v>104551mshiozawa</v>
      </c>
    </row>
    <row r="1074" spans="1:17" hidden="1" x14ac:dyDescent="0.4">
      <c r="A1074">
        <v>1278</v>
      </c>
      <c r="B1074" s="2"/>
      <c r="C1074" s="4">
        <v>45908</v>
      </c>
      <c r="D1074" s="5">
        <v>0.47916666666666669</v>
      </c>
      <c r="E1074" s="5">
        <v>0.54166666666666663</v>
      </c>
      <c r="F1074" s="2" t="s">
        <v>9</v>
      </c>
      <c r="G1074" s="2" t="s">
        <v>10</v>
      </c>
      <c r="H1074" s="2" t="s">
        <v>406</v>
      </c>
      <c r="I1074" s="2" t="s">
        <v>407</v>
      </c>
      <c r="J1074" s="2">
        <v>104550</v>
      </c>
      <c r="K1074" s="2" t="s">
        <v>408</v>
      </c>
      <c r="L1074" s="2" t="s">
        <v>18</v>
      </c>
      <c r="M1074" t="str">
        <f t="shared" si="93"/>
        <v>Masaki Shiozawa</v>
      </c>
      <c r="Q1074" t="str">
        <f t="shared" si="90"/>
        <v>104550mshiozawa</v>
      </c>
    </row>
    <row r="1075" spans="1:17" s="14" customFormat="1" hidden="1" x14ac:dyDescent="0.4">
      <c r="A1075">
        <v>1279</v>
      </c>
      <c r="B1075" s="2"/>
      <c r="C1075" s="15">
        <v>45908</v>
      </c>
      <c r="D1075" s="16">
        <v>0.375</v>
      </c>
      <c r="E1075" s="16">
        <v>0.4375</v>
      </c>
      <c r="F1075" s="2" t="s">
        <v>9</v>
      </c>
      <c r="G1075" s="2" t="s">
        <v>10</v>
      </c>
      <c r="H1075" s="17" t="s">
        <v>406</v>
      </c>
      <c r="I1075" s="17" t="s">
        <v>407</v>
      </c>
      <c r="J1075" s="17">
        <v>102916</v>
      </c>
      <c r="K1075" s="17" t="s">
        <v>408</v>
      </c>
      <c r="L1075" s="17" t="s">
        <v>18</v>
      </c>
      <c r="M1075" s="14" t="str">
        <f t="shared" si="93"/>
        <v>Masaki Shiozawa</v>
      </c>
      <c r="Q1075" t="str">
        <f t="shared" si="90"/>
        <v>102916mshiozawa</v>
      </c>
    </row>
    <row r="1076" spans="1:17" hidden="1" x14ac:dyDescent="0.4">
      <c r="A1076">
        <v>1280</v>
      </c>
      <c r="B1076" s="2"/>
      <c r="C1076" s="4">
        <v>45909</v>
      </c>
      <c r="D1076" s="5">
        <v>0.5</v>
      </c>
      <c r="E1076" s="5">
        <v>0.54166666666666663</v>
      </c>
      <c r="F1076" s="2" t="s">
        <v>9</v>
      </c>
      <c r="G1076" s="2" t="s">
        <v>10</v>
      </c>
      <c r="H1076" s="2" t="s">
        <v>569</v>
      </c>
      <c r="I1076" s="2" t="s">
        <v>561</v>
      </c>
      <c r="J1076" s="2">
        <v>102753</v>
      </c>
      <c r="K1076" s="2" t="s">
        <v>570</v>
      </c>
      <c r="L1076" s="2" t="s">
        <v>14</v>
      </c>
      <c r="M1076" t="str">
        <f>K1076 &amp; " " &amp; I1076</f>
        <v>Pouyé Thomas</v>
      </c>
      <c r="Q1076" t="str">
        <f t="shared" si="90"/>
        <v>102753tpouye</v>
      </c>
    </row>
    <row r="1077" spans="1:17" hidden="1" x14ac:dyDescent="0.4">
      <c r="A1077">
        <v>1281</v>
      </c>
      <c r="B1077" s="2"/>
      <c r="C1077" s="4">
        <v>45909</v>
      </c>
      <c r="D1077" s="5">
        <v>0.5</v>
      </c>
      <c r="E1077" s="5">
        <v>0.54166666666666663</v>
      </c>
      <c r="F1077" s="2" t="s">
        <v>9</v>
      </c>
      <c r="G1077" s="2" t="s">
        <v>10</v>
      </c>
      <c r="H1077" s="2" t="s">
        <v>207</v>
      </c>
      <c r="I1077" s="2" t="s">
        <v>191</v>
      </c>
      <c r="J1077" s="2">
        <v>102753</v>
      </c>
      <c r="K1077" s="2" t="s">
        <v>208</v>
      </c>
      <c r="L1077" s="2" t="s">
        <v>18</v>
      </c>
      <c r="M1077" t="str">
        <f>I1077 &amp; " " &amp; K1077</f>
        <v>Félix Prat</v>
      </c>
      <c r="Q1077" t="str">
        <f t="shared" si="90"/>
        <v>102753fprat</v>
      </c>
    </row>
    <row r="1078" spans="1:17" hidden="1" x14ac:dyDescent="0.4">
      <c r="A1078">
        <v>1282</v>
      </c>
      <c r="B1078" s="2"/>
      <c r="C1078" s="4">
        <v>45908</v>
      </c>
      <c r="D1078" s="5">
        <v>0.66666666666666663</v>
      </c>
      <c r="E1078" s="5">
        <v>0.72916666666666663</v>
      </c>
      <c r="F1078" s="2" t="s">
        <v>9</v>
      </c>
      <c r="G1078" s="2" t="s">
        <v>10</v>
      </c>
      <c r="H1078" s="2" t="s">
        <v>140</v>
      </c>
      <c r="I1078" s="2" t="s">
        <v>141</v>
      </c>
      <c r="J1078" s="2">
        <v>104855</v>
      </c>
      <c r="K1078" s="2" t="s">
        <v>142</v>
      </c>
      <c r="L1078" s="2" t="s">
        <v>14</v>
      </c>
      <c r="M1078" t="str">
        <f t="shared" ref="M1078:M1083" si="94">K1078 &amp; " " &amp; I1078</f>
        <v>Tabacaru David</v>
      </c>
      <c r="Q1078" t="str">
        <f t="shared" ref="Q1078:Q1130" si="95">J1078&amp;H1078</f>
        <v>104855dtabacaru</v>
      </c>
    </row>
    <row r="1079" spans="1:17" hidden="1" x14ac:dyDescent="0.4">
      <c r="A1079">
        <v>1284</v>
      </c>
      <c r="B1079" s="2"/>
      <c r="C1079" s="4">
        <v>45908</v>
      </c>
      <c r="D1079" s="5">
        <v>0.58333333333333337</v>
      </c>
      <c r="E1079" s="5">
        <v>0.64583333333333337</v>
      </c>
      <c r="F1079" s="2" t="s">
        <v>9</v>
      </c>
      <c r="G1079" s="2" t="s">
        <v>10</v>
      </c>
      <c r="H1079" s="2" t="s">
        <v>140</v>
      </c>
      <c r="I1079" s="2" t="s">
        <v>141</v>
      </c>
      <c r="J1079" s="2">
        <v>104551</v>
      </c>
      <c r="K1079" s="2" t="s">
        <v>142</v>
      </c>
      <c r="L1079" s="2" t="s">
        <v>14</v>
      </c>
      <c r="M1079" t="str">
        <f t="shared" si="94"/>
        <v>Tabacaru David</v>
      </c>
      <c r="Q1079" t="str">
        <f t="shared" si="95"/>
        <v>104551dtabacaru</v>
      </c>
    </row>
    <row r="1080" spans="1:17" hidden="1" x14ac:dyDescent="0.4">
      <c r="A1080">
        <v>1285</v>
      </c>
      <c r="B1080" s="2"/>
      <c r="C1080" s="4">
        <v>45908</v>
      </c>
      <c r="D1080" s="5">
        <v>0.47916666666666669</v>
      </c>
      <c r="E1080" s="5">
        <v>0.54166666666666663</v>
      </c>
      <c r="F1080" s="2" t="s">
        <v>9</v>
      </c>
      <c r="G1080" s="2" t="s">
        <v>10</v>
      </c>
      <c r="H1080" s="2" t="s">
        <v>140</v>
      </c>
      <c r="I1080" s="2" t="s">
        <v>141</v>
      </c>
      <c r="J1080" s="2">
        <v>104550</v>
      </c>
      <c r="K1080" s="2" t="s">
        <v>142</v>
      </c>
      <c r="L1080" s="2" t="s">
        <v>14</v>
      </c>
      <c r="M1080" t="str">
        <f t="shared" si="94"/>
        <v>Tabacaru David</v>
      </c>
      <c r="Q1080" t="str">
        <f t="shared" si="95"/>
        <v>104550dtabacaru</v>
      </c>
    </row>
    <row r="1081" spans="1:17" hidden="1" x14ac:dyDescent="0.4">
      <c r="A1081">
        <v>1286</v>
      </c>
      <c r="B1081" s="2"/>
      <c r="C1081" s="4">
        <v>45908</v>
      </c>
      <c r="D1081" s="5">
        <v>0.375</v>
      </c>
      <c r="E1081" s="5">
        <v>0.4375</v>
      </c>
      <c r="F1081" s="2" t="s">
        <v>9</v>
      </c>
      <c r="G1081" s="2" t="s">
        <v>10</v>
      </c>
      <c r="H1081" s="2" t="s">
        <v>140</v>
      </c>
      <c r="I1081" s="2" t="s">
        <v>141</v>
      </c>
      <c r="J1081" s="2">
        <v>102916</v>
      </c>
      <c r="K1081" s="2" t="s">
        <v>142</v>
      </c>
      <c r="L1081" s="2" t="s">
        <v>14</v>
      </c>
      <c r="M1081" t="str">
        <f t="shared" si="94"/>
        <v>Tabacaru David</v>
      </c>
      <c r="Q1081" t="str">
        <f t="shared" si="95"/>
        <v>102916dtabacaru</v>
      </c>
    </row>
    <row r="1082" spans="1:17" hidden="1" x14ac:dyDescent="0.4">
      <c r="A1082">
        <v>1287</v>
      </c>
      <c r="B1082" s="2"/>
      <c r="C1082" s="4">
        <v>45909</v>
      </c>
      <c r="D1082" s="5">
        <v>0.5</v>
      </c>
      <c r="E1082" s="5">
        <v>0.54166666666666663</v>
      </c>
      <c r="F1082" s="2" t="s">
        <v>9</v>
      </c>
      <c r="G1082" s="2" t="s">
        <v>10</v>
      </c>
      <c r="H1082" s="2" t="s">
        <v>172</v>
      </c>
      <c r="I1082" s="2" t="s">
        <v>173</v>
      </c>
      <c r="J1082" s="2">
        <v>102753</v>
      </c>
      <c r="K1082" s="2" t="s">
        <v>174</v>
      </c>
      <c r="L1082" s="2" t="s">
        <v>18</v>
      </c>
      <c r="M1082" t="str">
        <f t="shared" si="94"/>
        <v>Rall Étienne</v>
      </c>
      <c r="Q1082" t="str">
        <f t="shared" si="95"/>
        <v>102753erall</v>
      </c>
    </row>
    <row r="1083" spans="1:17" hidden="1" x14ac:dyDescent="0.4">
      <c r="A1083">
        <v>1288</v>
      </c>
      <c r="B1083" s="2"/>
      <c r="C1083" s="4">
        <v>45909</v>
      </c>
      <c r="D1083" s="5">
        <v>0.5</v>
      </c>
      <c r="E1083" s="5">
        <v>0.54166666666666663</v>
      </c>
      <c r="F1083" s="2" t="s">
        <v>9</v>
      </c>
      <c r="G1083" s="2" t="s">
        <v>10</v>
      </c>
      <c r="H1083" s="2" t="s">
        <v>137</v>
      </c>
      <c r="I1083" s="2" t="s">
        <v>138</v>
      </c>
      <c r="J1083" s="2">
        <v>102753</v>
      </c>
      <c r="K1083" s="2" t="s">
        <v>139</v>
      </c>
      <c r="L1083" s="2" t="s">
        <v>14</v>
      </c>
      <c r="M1083" t="str">
        <f t="shared" si="94"/>
        <v>Rashdan Dani</v>
      </c>
      <c r="Q1083" t="str">
        <f t="shared" si="95"/>
        <v>102753drashdan</v>
      </c>
    </row>
    <row r="1084" spans="1:17" hidden="1" x14ac:dyDescent="0.4">
      <c r="A1084">
        <v>1289</v>
      </c>
      <c r="B1084" s="2"/>
      <c r="C1084" s="4">
        <v>45908</v>
      </c>
      <c r="D1084" s="5">
        <v>0.66666666666666663</v>
      </c>
      <c r="E1084" s="5">
        <v>0.72916666666666663</v>
      </c>
      <c r="F1084" s="2" t="s">
        <v>9</v>
      </c>
      <c r="G1084" s="2" t="s">
        <v>10</v>
      </c>
      <c r="H1084" s="2" t="s">
        <v>241</v>
      </c>
      <c r="I1084" s="2" t="s">
        <v>242</v>
      </c>
      <c r="J1084" s="2">
        <v>104855</v>
      </c>
      <c r="K1084" s="2" t="s">
        <v>243</v>
      </c>
      <c r="L1084" s="2" t="s">
        <v>18</v>
      </c>
      <c r="M1084" t="str">
        <f>I1084 &amp; " " &amp; K1084</f>
        <v>Hinata Taguchi</v>
      </c>
      <c r="Q1084" t="str">
        <f t="shared" si="95"/>
        <v>104855htaguchi</v>
      </c>
    </row>
    <row r="1085" spans="1:17" hidden="1" x14ac:dyDescent="0.4">
      <c r="A1085">
        <v>1291</v>
      </c>
      <c r="B1085" s="2"/>
      <c r="C1085" s="4">
        <v>45908</v>
      </c>
      <c r="D1085" s="5">
        <v>0.58333333333333337</v>
      </c>
      <c r="E1085" s="5">
        <v>0.64583333333333337</v>
      </c>
      <c r="F1085" s="2" t="s">
        <v>9</v>
      </c>
      <c r="G1085" s="2" t="s">
        <v>10</v>
      </c>
      <c r="H1085" s="2" t="s">
        <v>241</v>
      </c>
      <c r="I1085" s="2" t="s">
        <v>242</v>
      </c>
      <c r="J1085" s="2">
        <v>104551</v>
      </c>
      <c r="K1085" s="2" t="s">
        <v>243</v>
      </c>
      <c r="L1085" s="2" t="s">
        <v>18</v>
      </c>
      <c r="M1085" t="str">
        <f>I1085 &amp; " " &amp; K1085</f>
        <v>Hinata Taguchi</v>
      </c>
      <c r="Q1085" t="str">
        <f t="shared" si="95"/>
        <v>104551htaguchi</v>
      </c>
    </row>
    <row r="1086" spans="1:17" hidden="1" x14ac:dyDescent="0.4">
      <c r="A1086">
        <v>1292</v>
      </c>
      <c r="B1086" s="2"/>
      <c r="C1086" s="4">
        <v>45908</v>
      </c>
      <c r="D1086" s="5">
        <v>0.47916666666666669</v>
      </c>
      <c r="E1086" s="5">
        <v>0.54166666666666663</v>
      </c>
      <c r="F1086" s="2" t="s">
        <v>9</v>
      </c>
      <c r="G1086" s="2" t="s">
        <v>10</v>
      </c>
      <c r="H1086" s="2" t="s">
        <v>241</v>
      </c>
      <c r="I1086" s="2" t="s">
        <v>242</v>
      </c>
      <c r="J1086" s="2">
        <v>104550</v>
      </c>
      <c r="K1086" s="2" t="s">
        <v>243</v>
      </c>
      <c r="L1086" s="2" t="s">
        <v>18</v>
      </c>
      <c r="M1086" t="str">
        <f>I1086 &amp; " " &amp; K1086</f>
        <v>Hinata Taguchi</v>
      </c>
      <c r="Q1086" t="str">
        <f t="shared" si="95"/>
        <v>104550htaguchi</v>
      </c>
    </row>
    <row r="1087" spans="1:17" hidden="1" x14ac:dyDescent="0.4">
      <c r="A1087">
        <v>1293</v>
      </c>
      <c r="B1087" s="2"/>
      <c r="C1087" s="4">
        <v>45908</v>
      </c>
      <c r="D1087" s="5">
        <v>0.375</v>
      </c>
      <c r="E1087" s="5">
        <v>0.4375</v>
      </c>
      <c r="F1087" s="2" t="s">
        <v>9</v>
      </c>
      <c r="G1087" s="2" t="s">
        <v>10</v>
      </c>
      <c r="H1087" s="2" t="s">
        <v>241</v>
      </c>
      <c r="I1087" s="2" t="s">
        <v>242</v>
      </c>
      <c r="J1087" s="2">
        <v>102916</v>
      </c>
      <c r="K1087" s="2" t="s">
        <v>243</v>
      </c>
      <c r="L1087" s="2" t="s">
        <v>18</v>
      </c>
      <c r="M1087" t="str">
        <f>I1087 &amp; " " &amp; K1087</f>
        <v>Hinata Taguchi</v>
      </c>
      <c r="Q1087" t="str">
        <f t="shared" si="95"/>
        <v>102916htaguchi</v>
      </c>
    </row>
    <row r="1088" spans="1:17" hidden="1" x14ac:dyDescent="0.4">
      <c r="A1088">
        <v>1294</v>
      </c>
      <c r="B1088" s="2"/>
      <c r="C1088" s="4">
        <v>45909</v>
      </c>
      <c r="D1088" s="5">
        <v>0.5</v>
      </c>
      <c r="E1088" s="5">
        <v>0.54166666666666663</v>
      </c>
      <c r="F1088" s="2" t="s">
        <v>9</v>
      </c>
      <c r="G1088" s="2" t="s">
        <v>10</v>
      </c>
      <c r="H1088" s="2" t="s">
        <v>85</v>
      </c>
      <c r="I1088" s="2" t="s">
        <v>52</v>
      </c>
      <c r="J1088" s="2">
        <v>102753</v>
      </c>
      <c r="K1088" s="2" t="s">
        <v>86</v>
      </c>
      <c r="L1088" s="2" t="s">
        <v>18</v>
      </c>
      <c r="M1088" t="str">
        <f>K1088 &amp; " " &amp; I1088</f>
        <v>Rauline Adrien</v>
      </c>
      <c r="Q1088" t="str">
        <f t="shared" si="95"/>
        <v>102753arauline</v>
      </c>
    </row>
    <row r="1089" spans="1:17" hidden="1" x14ac:dyDescent="0.4">
      <c r="A1089">
        <v>1295</v>
      </c>
      <c r="B1089" s="2"/>
      <c r="C1089" s="4">
        <v>45909</v>
      </c>
      <c r="D1089" s="5">
        <v>0.5</v>
      </c>
      <c r="E1089" s="5">
        <v>0.54166666666666663</v>
      </c>
      <c r="F1089" s="2" t="s">
        <v>9</v>
      </c>
      <c r="G1089" s="2" t="s">
        <v>10</v>
      </c>
      <c r="H1089" s="2" t="s">
        <v>175</v>
      </c>
      <c r="I1089" s="2" t="s">
        <v>176</v>
      </c>
      <c r="J1089" s="2">
        <v>102753</v>
      </c>
      <c r="K1089" s="2" t="s">
        <v>177</v>
      </c>
      <c r="L1089" s="2" t="s">
        <v>18</v>
      </c>
      <c r="M1089" t="str">
        <f>I1089 &amp; " " &amp; K1089</f>
        <v>Emile Rebuschi</v>
      </c>
      <c r="Q1089" t="str">
        <f t="shared" si="95"/>
        <v>102753erebuschi</v>
      </c>
    </row>
    <row r="1090" spans="1:17" hidden="1" x14ac:dyDescent="0.4">
      <c r="A1090">
        <v>1297</v>
      </c>
      <c r="B1090" s="2"/>
      <c r="C1090" s="4">
        <v>45908</v>
      </c>
      <c r="D1090" s="5">
        <v>0.66666666666666663</v>
      </c>
      <c r="E1090" s="5">
        <v>0.72916666666666663</v>
      </c>
      <c r="F1090" s="2" t="s">
        <v>9</v>
      </c>
      <c r="G1090" s="2" t="s">
        <v>10</v>
      </c>
      <c r="H1090" s="2" t="s">
        <v>604</v>
      </c>
      <c r="I1090" s="2" t="s">
        <v>605</v>
      </c>
      <c r="J1090" s="2">
        <v>104855</v>
      </c>
      <c r="K1090" s="2" t="s">
        <v>606</v>
      </c>
      <c r="L1090" s="2" t="s">
        <v>14</v>
      </c>
      <c r="M1090" t="str">
        <f t="shared" ref="M1090:M1095" si="96">K1090 &amp; " " &amp; I1090</f>
        <v>Takasaki Yume</v>
      </c>
      <c r="Q1090" t="str">
        <f t="shared" si="95"/>
        <v>104855ytakasaki</v>
      </c>
    </row>
    <row r="1091" spans="1:17" hidden="1" x14ac:dyDescent="0.4">
      <c r="A1091">
        <v>1299</v>
      </c>
      <c r="B1091" s="2"/>
      <c r="C1091" s="4">
        <v>45908</v>
      </c>
      <c r="D1091" s="5">
        <v>0.58333333333333337</v>
      </c>
      <c r="E1091" s="5">
        <v>0.64583333333333337</v>
      </c>
      <c r="F1091" s="2" t="s">
        <v>9</v>
      </c>
      <c r="G1091" s="2" t="s">
        <v>10</v>
      </c>
      <c r="H1091" s="2" t="s">
        <v>604</v>
      </c>
      <c r="I1091" s="2" t="s">
        <v>605</v>
      </c>
      <c r="J1091" s="2">
        <v>104551</v>
      </c>
      <c r="K1091" s="2" t="s">
        <v>606</v>
      </c>
      <c r="L1091" s="2" t="s">
        <v>14</v>
      </c>
      <c r="M1091" t="str">
        <f t="shared" si="96"/>
        <v>Takasaki Yume</v>
      </c>
      <c r="Q1091" t="str">
        <f t="shared" si="95"/>
        <v>104551ytakasaki</v>
      </c>
    </row>
    <row r="1092" spans="1:17" hidden="1" x14ac:dyDescent="0.4">
      <c r="A1092">
        <v>1300</v>
      </c>
      <c r="B1092" s="2"/>
      <c r="C1092" s="4">
        <v>45908</v>
      </c>
      <c r="D1092" s="5">
        <v>0.47916666666666669</v>
      </c>
      <c r="E1092" s="5">
        <v>0.54166666666666663</v>
      </c>
      <c r="F1092" s="2" t="s">
        <v>9</v>
      </c>
      <c r="G1092" s="2" t="s">
        <v>10</v>
      </c>
      <c r="H1092" s="2" t="s">
        <v>604</v>
      </c>
      <c r="I1092" s="2" t="s">
        <v>605</v>
      </c>
      <c r="J1092" s="2">
        <v>104550</v>
      </c>
      <c r="K1092" s="2" t="s">
        <v>606</v>
      </c>
      <c r="L1092" s="2" t="s">
        <v>14</v>
      </c>
      <c r="M1092" t="str">
        <f t="shared" si="96"/>
        <v>Takasaki Yume</v>
      </c>
      <c r="Q1092" t="str">
        <f t="shared" si="95"/>
        <v>104550ytakasaki</v>
      </c>
    </row>
    <row r="1093" spans="1:17" hidden="1" x14ac:dyDescent="0.4">
      <c r="A1093">
        <v>1301</v>
      </c>
      <c r="B1093" s="2"/>
      <c r="C1093" s="4">
        <v>45908</v>
      </c>
      <c r="D1093" s="5">
        <v>0.375</v>
      </c>
      <c r="E1093" s="5">
        <v>0.4375</v>
      </c>
      <c r="F1093" s="2" t="s">
        <v>9</v>
      </c>
      <c r="G1093" s="2" t="s">
        <v>10</v>
      </c>
      <c r="H1093" s="2" t="s">
        <v>604</v>
      </c>
      <c r="I1093" s="2" t="s">
        <v>605</v>
      </c>
      <c r="J1093" s="2">
        <v>102916</v>
      </c>
      <c r="K1093" s="2" t="s">
        <v>606</v>
      </c>
      <c r="L1093" s="2" t="s">
        <v>14</v>
      </c>
      <c r="M1093" t="str">
        <f t="shared" si="96"/>
        <v>Takasaki Yume</v>
      </c>
      <c r="Q1093" t="str">
        <f t="shared" si="95"/>
        <v>102916ytakasaki</v>
      </c>
    </row>
    <row r="1094" spans="1:17" hidden="1" x14ac:dyDescent="0.4">
      <c r="A1094">
        <v>1302</v>
      </c>
      <c r="B1094" s="2"/>
      <c r="C1094" s="4">
        <v>45909</v>
      </c>
      <c r="D1094" s="5">
        <v>0.5</v>
      </c>
      <c r="E1094" s="5">
        <v>0.54166666666666663</v>
      </c>
      <c r="F1094" s="2" t="s">
        <v>9</v>
      </c>
      <c r="G1094" s="2" t="s">
        <v>10</v>
      </c>
      <c r="H1094" s="2" t="s">
        <v>459</v>
      </c>
      <c r="I1094" s="2" t="s">
        <v>460</v>
      </c>
      <c r="J1094" s="2">
        <v>102753</v>
      </c>
      <c r="K1094" s="2" t="s">
        <v>461</v>
      </c>
      <c r="L1094" s="2" t="s">
        <v>14</v>
      </c>
      <c r="M1094" t="str">
        <f t="shared" si="96"/>
        <v>Renioult Pierre-Antoine</v>
      </c>
      <c r="Q1094" t="str">
        <f t="shared" si="95"/>
        <v>102753parenioult</v>
      </c>
    </row>
    <row r="1095" spans="1:17" hidden="1" x14ac:dyDescent="0.4">
      <c r="A1095">
        <v>1303</v>
      </c>
      <c r="B1095" s="2"/>
      <c r="C1095" s="4">
        <v>45909</v>
      </c>
      <c r="D1095" s="5">
        <v>0.5</v>
      </c>
      <c r="E1095" s="5">
        <v>0.54166666666666663</v>
      </c>
      <c r="F1095" s="2" t="s">
        <v>9</v>
      </c>
      <c r="G1095" s="2" t="s">
        <v>10</v>
      </c>
      <c r="H1095" s="2" t="s">
        <v>178</v>
      </c>
      <c r="I1095" s="2" t="s">
        <v>179</v>
      </c>
      <c r="J1095" s="2">
        <v>102753</v>
      </c>
      <c r="K1095" s="2" t="s">
        <v>180</v>
      </c>
      <c r="L1095" s="2" t="s">
        <v>18</v>
      </c>
      <c r="M1095" t="str">
        <f t="shared" si="96"/>
        <v>Ricard Émile</v>
      </c>
      <c r="Q1095" t="str">
        <f t="shared" si="95"/>
        <v>102753ericard</v>
      </c>
    </row>
    <row r="1096" spans="1:17" hidden="1" x14ac:dyDescent="0.4">
      <c r="A1096">
        <v>1304</v>
      </c>
      <c r="B1096" s="2"/>
      <c r="C1096" s="4">
        <v>45908</v>
      </c>
      <c r="D1096" s="5">
        <v>0.66666666666666663</v>
      </c>
      <c r="E1096" s="5">
        <v>0.72916666666666663</v>
      </c>
      <c r="F1096" s="2" t="s">
        <v>9</v>
      </c>
      <c r="G1096" s="2" t="s">
        <v>10</v>
      </c>
      <c r="H1096" s="2" t="s">
        <v>116</v>
      </c>
      <c r="I1096" s="2" t="s">
        <v>117</v>
      </c>
      <c r="J1096" s="2">
        <v>104855</v>
      </c>
      <c r="K1096" s="2" t="s">
        <v>118</v>
      </c>
      <c r="L1096" s="2" t="s">
        <v>18</v>
      </c>
      <c r="M1096" t="str">
        <f>I1096 &amp; " " &amp; K1096</f>
        <v>Clovis Tallet</v>
      </c>
      <c r="Q1096" t="str">
        <f t="shared" si="95"/>
        <v>104855ctallet1</v>
      </c>
    </row>
    <row r="1097" spans="1:17" hidden="1" x14ac:dyDescent="0.4">
      <c r="A1097">
        <v>1306</v>
      </c>
      <c r="B1097" s="2"/>
      <c r="C1097" s="4">
        <v>45908</v>
      </c>
      <c r="D1097" s="5">
        <v>0.58333333333333337</v>
      </c>
      <c r="E1097" s="5">
        <v>0.64583333333333337</v>
      </c>
      <c r="F1097" s="2" t="s">
        <v>9</v>
      </c>
      <c r="G1097" s="2" t="s">
        <v>10</v>
      </c>
      <c r="H1097" s="2" t="s">
        <v>116</v>
      </c>
      <c r="I1097" s="2" t="s">
        <v>117</v>
      </c>
      <c r="J1097" s="2">
        <v>104551</v>
      </c>
      <c r="K1097" s="2" t="s">
        <v>118</v>
      </c>
      <c r="L1097" s="2" t="s">
        <v>18</v>
      </c>
      <c r="M1097" t="str">
        <f>I1097 &amp; " " &amp; K1097</f>
        <v>Clovis Tallet</v>
      </c>
      <c r="Q1097" t="str">
        <f t="shared" si="95"/>
        <v>104551ctallet1</v>
      </c>
    </row>
    <row r="1098" spans="1:17" hidden="1" x14ac:dyDescent="0.4">
      <c r="A1098">
        <v>1307</v>
      </c>
      <c r="B1098" s="2"/>
      <c r="C1098" s="4">
        <v>45908</v>
      </c>
      <c r="D1098" s="5">
        <v>0.47916666666666669</v>
      </c>
      <c r="E1098" s="5">
        <v>0.54166666666666663</v>
      </c>
      <c r="F1098" s="2" t="s">
        <v>9</v>
      </c>
      <c r="G1098" s="2" t="s">
        <v>10</v>
      </c>
      <c r="H1098" s="2" t="s">
        <v>116</v>
      </c>
      <c r="I1098" s="2" t="s">
        <v>117</v>
      </c>
      <c r="J1098" s="2">
        <v>104550</v>
      </c>
      <c r="K1098" s="2" t="s">
        <v>118</v>
      </c>
      <c r="L1098" s="2" t="s">
        <v>18</v>
      </c>
      <c r="M1098" t="str">
        <f>I1098 &amp; " " &amp; K1098</f>
        <v>Clovis Tallet</v>
      </c>
      <c r="Q1098" t="str">
        <f t="shared" si="95"/>
        <v>104550ctallet1</v>
      </c>
    </row>
    <row r="1099" spans="1:17" hidden="1" x14ac:dyDescent="0.4">
      <c r="A1099">
        <v>1308</v>
      </c>
      <c r="B1099" s="2"/>
      <c r="C1099" s="4">
        <v>45908</v>
      </c>
      <c r="D1099" s="5">
        <v>0.375</v>
      </c>
      <c r="E1099" s="5">
        <v>0.4375</v>
      </c>
      <c r="F1099" s="2" t="s">
        <v>9</v>
      </c>
      <c r="G1099" s="2" t="s">
        <v>10</v>
      </c>
      <c r="H1099" s="2" t="s">
        <v>116</v>
      </c>
      <c r="I1099" s="2" t="s">
        <v>117</v>
      </c>
      <c r="J1099" s="2">
        <v>102916</v>
      </c>
      <c r="K1099" s="2" t="s">
        <v>118</v>
      </c>
      <c r="L1099" s="2" t="s">
        <v>18</v>
      </c>
      <c r="M1099" t="str">
        <f>I1099 &amp; " " &amp; K1099</f>
        <v>Clovis Tallet</v>
      </c>
      <c r="Q1099" t="str">
        <f t="shared" si="95"/>
        <v>102916ctallet1</v>
      </c>
    </row>
    <row r="1100" spans="1:17" hidden="1" x14ac:dyDescent="0.4">
      <c r="A1100">
        <v>1309</v>
      </c>
      <c r="B1100" s="2"/>
      <c r="C1100" s="4">
        <v>45909</v>
      </c>
      <c r="D1100" s="5">
        <v>0.5</v>
      </c>
      <c r="E1100" s="5">
        <v>0.54166666666666663</v>
      </c>
      <c r="F1100" s="2" t="s">
        <v>9</v>
      </c>
      <c r="G1100" s="2" t="s">
        <v>10</v>
      </c>
      <c r="H1100" s="2" t="s">
        <v>479</v>
      </c>
      <c r="I1100" s="2" t="s">
        <v>480</v>
      </c>
      <c r="J1100" s="2">
        <v>102753</v>
      </c>
      <c r="K1100" s="2" t="s">
        <v>481</v>
      </c>
      <c r="L1100" s="2" t="s">
        <v>18</v>
      </c>
      <c r="M1100" t="str">
        <f>I1100 &amp; " " &amp; K1100</f>
        <v>Pauline Robilliard</v>
      </c>
      <c r="Q1100" t="str">
        <f t="shared" si="95"/>
        <v>102753probilliard</v>
      </c>
    </row>
    <row r="1101" spans="1:17" hidden="1" x14ac:dyDescent="0.4">
      <c r="A1101">
        <v>1310</v>
      </c>
      <c r="B1101" s="2"/>
      <c r="C1101" s="4">
        <v>45909</v>
      </c>
      <c r="D1101" s="5">
        <v>0.5</v>
      </c>
      <c r="E1101" s="5">
        <v>0.54166666666666663</v>
      </c>
      <c r="F1101" s="2" t="s">
        <v>9</v>
      </c>
      <c r="G1101" s="2" t="s">
        <v>10</v>
      </c>
      <c r="H1101" s="2" t="s">
        <v>181</v>
      </c>
      <c r="I1101" s="2" t="s">
        <v>182</v>
      </c>
      <c r="J1101" s="2">
        <v>102753</v>
      </c>
      <c r="K1101" s="2" t="s">
        <v>183</v>
      </c>
      <c r="L1101" s="2" t="s">
        <v>18</v>
      </c>
      <c r="M1101" t="str">
        <f t="shared" ref="M1101:M1105" si="97">K1101 &amp; " " &amp; I1101</f>
        <v>Rodrigues Estellie</v>
      </c>
      <c r="Q1101" t="str">
        <f t="shared" si="95"/>
        <v>102753erodrigues</v>
      </c>
    </row>
    <row r="1102" spans="1:17" hidden="1" x14ac:dyDescent="0.4">
      <c r="A1102">
        <v>1312</v>
      </c>
      <c r="B1102" s="2"/>
      <c r="C1102" s="4">
        <v>45908</v>
      </c>
      <c r="D1102" s="5">
        <v>0.66666666666666663</v>
      </c>
      <c r="E1102" s="5">
        <v>0.72916666666666663</v>
      </c>
      <c r="F1102" s="2" t="s">
        <v>9</v>
      </c>
      <c r="G1102" s="2" t="s">
        <v>10</v>
      </c>
      <c r="H1102" s="2" t="s">
        <v>592</v>
      </c>
      <c r="I1102" s="2" t="s">
        <v>593</v>
      </c>
      <c r="J1102" s="2">
        <v>104855</v>
      </c>
      <c r="K1102" s="2" t="s">
        <v>594</v>
      </c>
      <c r="L1102" s="2" t="s">
        <v>14</v>
      </c>
      <c r="M1102" t="str">
        <f t="shared" si="97"/>
        <v>Te Chin William</v>
      </c>
      <c r="Q1102" t="str">
        <f t="shared" si="95"/>
        <v>104855wtechin</v>
      </c>
    </row>
    <row r="1103" spans="1:17" hidden="1" x14ac:dyDescent="0.4">
      <c r="A1103">
        <v>1314</v>
      </c>
      <c r="B1103" s="2"/>
      <c r="C1103" s="4">
        <v>45908</v>
      </c>
      <c r="D1103" s="5">
        <v>0.58333333333333337</v>
      </c>
      <c r="E1103" s="5">
        <v>0.64583333333333337</v>
      </c>
      <c r="F1103" s="2" t="s">
        <v>9</v>
      </c>
      <c r="G1103" s="2" t="s">
        <v>10</v>
      </c>
      <c r="H1103" s="2" t="s">
        <v>592</v>
      </c>
      <c r="I1103" s="2" t="s">
        <v>593</v>
      </c>
      <c r="J1103" s="2">
        <v>104551</v>
      </c>
      <c r="K1103" s="2" t="s">
        <v>594</v>
      </c>
      <c r="L1103" s="2" t="s">
        <v>14</v>
      </c>
      <c r="M1103" t="str">
        <f t="shared" si="97"/>
        <v>Te Chin William</v>
      </c>
      <c r="Q1103" t="str">
        <f t="shared" si="95"/>
        <v>104551wtechin</v>
      </c>
    </row>
    <row r="1104" spans="1:17" hidden="1" x14ac:dyDescent="0.4">
      <c r="A1104">
        <v>1315</v>
      </c>
      <c r="B1104" s="2"/>
      <c r="C1104" s="4">
        <v>45908</v>
      </c>
      <c r="D1104" s="5">
        <v>0.47916666666666669</v>
      </c>
      <c r="E1104" s="5">
        <v>0.54166666666666663</v>
      </c>
      <c r="F1104" s="2" t="s">
        <v>9</v>
      </c>
      <c r="G1104" s="2" t="s">
        <v>10</v>
      </c>
      <c r="H1104" s="2" t="s">
        <v>592</v>
      </c>
      <c r="I1104" s="2" t="s">
        <v>593</v>
      </c>
      <c r="J1104" s="2">
        <v>104550</v>
      </c>
      <c r="K1104" s="2" t="s">
        <v>594</v>
      </c>
      <c r="L1104" s="2" t="s">
        <v>14</v>
      </c>
      <c r="M1104" t="str">
        <f t="shared" si="97"/>
        <v>Te Chin William</v>
      </c>
      <c r="Q1104" t="str">
        <f t="shared" si="95"/>
        <v>104550wtechin</v>
      </c>
    </row>
    <row r="1105" spans="1:17" hidden="1" x14ac:dyDescent="0.4">
      <c r="A1105">
        <v>1316</v>
      </c>
      <c r="B1105" s="2"/>
      <c r="C1105" s="4">
        <v>45908</v>
      </c>
      <c r="D1105" s="5">
        <v>0.375</v>
      </c>
      <c r="E1105" s="5">
        <v>0.4375</v>
      </c>
      <c r="F1105" s="2" t="s">
        <v>9</v>
      </c>
      <c r="G1105" s="2" t="s">
        <v>10</v>
      </c>
      <c r="H1105" s="2" t="s">
        <v>592</v>
      </c>
      <c r="I1105" s="2" t="s">
        <v>593</v>
      </c>
      <c r="J1105" s="2">
        <v>102916</v>
      </c>
      <c r="K1105" s="2" t="s">
        <v>594</v>
      </c>
      <c r="L1105" s="2" t="s">
        <v>14</v>
      </c>
      <c r="M1105" t="str">
        <f t="shared" si="97"/>
        <v>Te Chin William</v>
      </c>
      <c r="Q1105" t="str">
        <f t="shared" si="95"/>
        <v>102916wtechin</v>
      </c>
    </row>
    <row r="1106" spans="1:17" hidden="1" x14ac:dyDescent="0.4">
      <c r="A1106">
        <v>1317</v>
      </c>
      <c r="B1106" s="2"/>
      <c r="C1106" s="4">
        <v>45909</v>
      </c>
      <c r="D1106" s="5">
        <v>0.5</v>
      </c>
      <c r="E1106" s="5">
        <v>0.54166666666666663</v>
      </c>
      <c r="F1106" s="2" t="s">
        <v>9</v>
      </c>
      <c r="G1106" s="2" t="s">
        <v>10</v>
      </c>
      <c r="H1106" s="2" t="s">
        <v>444</v>
      </c>
      <c r="I1106" s="2" t="s">
        <v>445</v>
      </c>
      <c r="J1106" s="2">
        <v>102753</v>
      </c>
      <c r="K1106" s="2" t="s">
        <v>446</v>
      </c>
      <c r="L1106" s="2" t="s">
        <v>18</v>
      </c>
      <c r="M1106" t="str">
        <f>I1106 &amp; " " &amp; K1106</f>
        <v>Nino Rossini--Defrançois</v>
      </c>
      <c r="Q1106" t="str">
        <f t="shared" si="95"/>
        <v>102753nrossinidefrancois</v>
      </c>
    </row>
    <row r="1107" spans="1:17" hidden="1" x14ac:dyDescent="0.4">
      <c r="A1107">
        <v>1318</v>
      </c>
      <c r="B1107" s="2"/>
      <c r="C1107" s="4">
        <v>45909</v>
      </c>
      <c r="D1107" s="5">
        <v>0.5</v>
      </c>
      <c r="E1107" s="5">
        <v>0.54166666666666663</v>
      </c>
      <c r="F1107" s="2" t="s">
        <v>9</v>
      </c>
      <c r="G1107" s="2" t="s">
        <v>10</v>
      </c>
      <c r="H1107" s="2" t="s">
        <v>107</v>
      </c>
      <c r="I1107" s="2" t="s">
        <v>108</v>
      </c>
      <c r="J1107" s="2">
        <v>102753</v>
      </c>
      <c r="K1107" s="2" t="s">
        <v>109</v>
      </c>
      <c r="L1107" s="2" t="s">
        <v>18</v>
      </c>
      <c r="M1107" t="str">
        <f>I1107 &amp; " " &amp; K1107</f>
        <v>Cyrielle Roszak</v>
      </c>
      <c r="Q1107" t="str">
        <f t="shared" si="95"/>
        <v>102753croszak</v>
      </c>
    </row>
    <row r="1108" spans="1:17" hidden="1" x14ac:dyDescent="0.4">
      <c r="A1108">
        <v>1319</v>
      </c>
      <c r="B1108" s="2"/>
      <c r="C1108" s="4">
        <v>45908</v>
      </c>
      <c r="D1108" s="5">
        <v>0.66666666666666663</v>
      </c>
      <c r="E1108" s="5">
        <v>0.72916666666666663</v>
      </c>
      <c r="F1108" s="2" t="s">
        <v>9</v>
      </c>
      <c r="G1108" s="2" t="s">
        <v>10</v>
      </c>
      <c r="H1108" s="2" t="s">
        <v>250</v>
      </c>
      <c r="I1108" s="2" t="s">
        <v>251</v>
      </c>
      <c r="J1108" s="2">
        <v>104855</v>
      </c>
      <c r="K1108" s="2" t="s">
        <v>252</v>
      </c>
      <c r="L1108" s="2" t="s">
        <v>14</v>
      </c>
      <c r="M1108" t="str">
        <f t="shared" ref="M1108:M1113" si="98">K1108 &amp; " " &amp; I1108</f>
        <v>Terekhanov Ivan</v>
      </c>
      <c r="Q1108" t="str">
        <f t="shared" si="95"/>
        <v>104855iterekhanov</v>
      </c>
    </row>
    <row r="1109" spans="1:17" hidden="1" x14ac:dyDescent="0.4">
      <c r="A1109">
        <v>1321</v>
      </c>
      <c r="B1109" s="2"/>
      <c r="C1109" s="4">
        <v>45908</v>
      </c>
      <c r="D1109" s="5">
        <v>0.58333333333333337</v>
      </c>
      <c r="E1109" s="5">
        <v>0.64583333333333337</v>
      </c>
      <c r="F1109" s="2" t="s">
        <v>9</v>
      </c>
      <c r="G1109" s="2" t="s">
        <v>10</v>
      </c>
      <c r="H1109" s="2" t="s">
        <v>250</v>
      </c>
      <c r="I1109" s="2" t="s">
        <v>251</v>
      </c>
      <c r="J1109" s="2">
        <v>104551</v>
      </c>
      <c r="K1109" s="2" t="s">
        <v>252</v>
      </c>
      <c r="L1109" s="2" t="s">
        <v>14</v>
      </c>
      <c r="M1109" t="str">
        <f t="shared" si="98"/>
        <v>Terekhanov Ivan</v>
      </c>
      <c r="Q1109" t="str">
        <f t="shared" si="95"/>
        <v>104551iterekhanov</v>
      </c>
    </row>
    <row r="1110" spans="1:17" hidden="1" x14ac:dyDescent="0.4">
      <c r="A1110">
        <v>1322</v>
      </c>
      <c r="B1110" s="2"/>
      <c r="C1110" s="4">
        <v>45908</v>
      </c>
      <c r="D1110" s="5">
        <v>0.47916666666666669</v>
      </c>
      <c r="E1110" s="5">
        <v>0.54166666666666663</v>
      </c>
      <c r="F1110" s="2" t="s">
        <v>9</v>
      </c>
      <c r="G1110" s="2" t="s">
        <v>10</v>
      </c>
      <c r="H1110" s="2" t="s">
        <v>250</v>
      </c>
      <c r="I1110" s="2" t="s">
        <v>251</v>
      </c>
      <c r="J1110" s="2">
        <v>104550</v>
      </c>
      <c r="K1110" s="2" t="s">
        <v>252</v>
      </c>
      <c r="L1110" s="2" t="s">
        <v>14</v>
      </c>
      <c r="M1110" t="str">
        <f t="shared" si="98"/>
        <v>Terekhanov Ivan</v>
      </c>
      <c r="Q1110" t="str">
        <f t="shared" si="95"/>
        <v>104550iterekhanov</v>
      </c>
    </row>
    <row r="1111" spans="1:17" hidden="1" x14ac:dyDescent="0.4">
      <c r="A1111">
        <v>1323</v>
      </c>
      <c r="B1111" s="2"/>
      <c r="C1111" s="4">
        <v>45908</v>
      </c>
      <c r="D1111" s="5">
        <v>0.375</v>
      </c>
      <c r="E1111" s="5">
        <v>0.4375</v>
      </c>
      <c r="F1111" s="2" t="s">
        <v>9</v>
      </c>
      <c r="G1111" s="2" t="s">
        <v>10</v>
      </c>
      <c r="H1111" s="2" t="s">
        <v>250</v>
      </c>
      <c r="I1111" s="2" t="s">
        <v>251</v>
      </c>
      <c r="J1111" s="2">
        <v>102916</v>
      </c>
      <c r="K1111" s="2" t="s">
        <v>252</v>
      </c>
      <c r="L1111" s="2" t="s">
        <v>14</v>
      </c>
      <c r="M1111" t="str">
        <f t="shared" si="98"/>
        <v>Terekhanov Ivan</v>
      </c>
      <c r="Q1111" t="str">
        <f t="shared" si="95"/>
        <v>102916iterekhanov</v>
      </c>
    </row>
    <row r="1112" spans="1:17" hidden="1" x14ac:dyDescent="0.4">
      <c r="A1112">
        <v>1324</v>
      </c>
      <c r="B1112" s="2"/>
      <c r="C1112" s="4">
        <v>45909</v>
      </c>
      <c r="D1112" s="5">
        <v>0.5</v>
      </c>
      <c r="E1112" s="5">
        <v>0.54166666666666663</v>
      </c>
      <c r="F1112" s="2" t="s">
        <v>9</v>
      </c>
      <c r="G1112" s="2" t="s">
        <v>10</v>
      </c>
      <c r="H1112" s="2" t="s">
        <v>110</v>
      </c>
      <c r="I1112" s="2" t="s">
        <v>111</v>
      </c>
      <c r="J1112" s="2">
        <v>102753</v>
      </c>
      <c r="K1112" s="2" t="s">
        <v>112</v>
      </c>
      <c r="L1112" s="2" t="s">
        <v>14</v>
      </c>
      <c r="M1112" t="str">
        <f t="shared" si="98"/>
        <v>Rouge Chloë</v>
      </c>
      <c r="Q1112" t="str">
        <f t="shared" si="95"/>
        <v>102753crouge</v>
      </c>
    </row>
    <row r="1113" spans="1:17" hidden="1" x14ac:dyDescent="0.4">
      <c r="A1113">
        <v>1325</v>
      </c>
      <c r="B1113" s="2"/>
      <c r="C1113" s="4">
        <v>45909</v>
      </c>
      <c r="D1113" s="5">
        <v>0.5</v>
      </c>
      <c r="E1113" s="5">
        <v>0.54166666666666663</v>
      </c>
      <c r="F1113" s="2" t="s">
        <v>9</v>
      </c>
      <c r="G1113" s="2" t="s">
        <v>10</v>
      </c>
      <c r="H1113" s="2" t="s">
        <v>542</v>
      </c>
      <c r="I1113" s="2" t="s">
        <v>543</v>
      </c>
      <c r="J1113" s="2">
        <v>102753</v>
      </c>
      <c r="K1113" s="2" t="s">
        <v>544</v>
      </c>
      <c r="L1113" s="2" t="s">
        <v>14</v>
      </c>
      <c r="M1113" t="str">
        <f t="shared" si="98"/>
        <v>Roulette Soni-Sesto</v>
      </c>
      <c r="Q1113" t="str">
        <f t="shared" si="95"/>
        <v>102753ssroulette</v>
      </c>
    </row>
    <row r="1114" spans="1:17" hidden="1" x14ac:dyDescent="0.4">
      <c r="A1114">
        <v>1326</v>
      </c>
      <c r="B1114" s="2"/>
      <c r="C1114" s="4">
        <v>45908</v>
      </c>
      <c r="D1114" s="5">
        <v>0.66666666666666663</v>
      </c>
      <c r="E1114" s="5">
        <v>0.72916666666666663</v>
      </c>
      <c r="F1114" s="2" t="s">
        <v>9</v>
      </c>
      <c r="G1114" s="2" t="s">
        <v>10</v>
      </c>
      <c r="H1114" s="2" t="s">
        <v>545</v>
      </c>
      <c r="I1114" s="2" t="s">
        <v>546</v>
      </c>
      <c r="J1114" s="2">
        <v>104855</v>
      </c>
      <c r="K1114" s="2" t="s">
        <v>547</v>
      </c>
      <c r="L1114" s="2" t="s">
        <v>18</v>
      </c>
      <c r="M1114" t="str">
        <f>I1114 &amp; " " &amp; K1114</f>
        <v>Stan Théodas</v>
      </c>
      <c r="Q1114" t="str">
        <f t="shared" si="95"/>
        <v>104855stheodas</v>
      </c>
    </row>
    <row r="1115" spans="1:17" hidden="1" x14ac:dyDescent="0.4">
      <c r="A1115">
        <v>1328</v>
      </c>
      <c r="B1115" s="2"/>
      <c r="C1115" s="4">
        <v>45908</v>
      </c>
      <c r="D1115" s="5">
        <v>0.58333333333333337</v>
      </c>
      <c r="E1115" s="5">
        <v>0.64583333333333337</v>
      </c>
      <c r="F1115" s="2" t="s">
        <v>9</v>
      </c>
      <c r="G1115" s="2" t="s">
        <v>10</v>
      </c>
      <c r="H1115" s="2" t="s">
        <v>545</v>
      </c>
      <c r="I1115" s="2" t="s">
        <v>546</v>
      </c>
      <c r="J1115" s="2">
        <v>104551</v>
      </c>
      <c r="K1115" s="2" t="s">
        <v>547</v>
      </c>
      <c r="L1115" s="2" t="s">
        <v>18</v>
      </c>
      <c r="M1115" t="str">
        <f>I1115 &amp; " " &amp; K1115</f>
        <v>Stan Théodas</v>
      </c>
      <c r="Q1115" t="str">
        <f t="shared" si="95"/>
        <v>104551stheodas</v>
      </c>
    </row>
    <row r="1116" spans="1:17" hidden="1" x14ac:dyDescent="0.4">
      <c r="A1116">
        <v>1329</v>
      </c>
      <c r="B1116" s="2"/>
      <c r="C1116" s="4">
        <v>45908</v>
      </c>
      <c r="D1116" s="5">
        <v>0.47916666666666669</v>
      </c>
      <c r="E1116" s="5">
        <v>0.54166666666666663</v>
      </c>
      <c r="F1116" s="2" t="s">
        <v>9</v>
      </c>
      <c r="G1116" s="2" t="s">
        <v>10</v>
      </c>
      <c r="H1116" s="2" t="s">
        <v>545</v>
      </c>
      <c r="I1116" s="2" t="s">
        <v>546</v>
      </c>
      <c r="J1116" s="2">
        <v>104550</v>
      </c>
      <c r="K1116" s="2" t="s">
        <v>547</v>
      </c>
      <c r="L1116" s="2" t="s">
        <v>18</v>
      </c>
      <c r="M1116" t="str">
        <f t="shared" ref="M1116:M1125" si="99">K1116 &amp; " " &amp; I1116</f>
        <v>Théodas Stan</v>
      </c>
      <c r="Q1116" t="str">
        <f t="shared" si="95"/>
        <v>104550stheodas</v>
      </c>
    </row>
    <row r="1117" spans="1:17" hidden="1" x14ac:dyDescent="0.4">
      <c r="A1117">
        <v>1330</v>
      </c>
      <c r="B1117" s="2"/>
      <c r="C1117" s="4">
        <v>45908</v>
      </c>
      <c r="D1117" s="5">
        <v>0.375</v>
      </c>
      <c r="E1117" s="5">
        <v>0.4375</v>
      </c>
      <c r="F1117" s="2" t="s">
        <v>9</v>
      </c>
      <c r="G1117" s="2" t="s">
        <v>10</v>
      </c>
      <c r="H1117" s="2" t="s">
        <v>545</v>
      </c>
      <c r="I1117" s="2" t="s">
        <v>546</v>
      </c>
      <c r="J1117" s="2">
        <v>102916</v>
      </c>
      <c r="K1117" s="2" t="s">
        <v>547</v>
      </c>
      <c r="L1117" s="2" t="s">
        <v>18</v>
      </c>
      <c r="M1117" t="str">
        <f t="shared" si="99"/>
        <v>Théodas Stan</v>
      </c>
      <c r="Q1117" t="str">
        <f t="shared" si="95"/>
        <v>102916stheodas</v>
      </c>
    </row>
    <row r="1118" spans="1:17" hidden="1" x14ac:dyDescent="0.4">
      <c r="A1118">
        <v>1331</v>
      </c>
      <c r="B1118" s="2"/>
      <c r="C1118" s="4">
        <v>45909</v>
      </c>
      <c r="D1118" s="5">
        <v>0.5</v>
      </c>
      <c r="E1118" s="5">
        <v>0.54166666666666663</v>
      </c>
      <c r="F1118" s="2" t="s">
        <v>9</v>
      </c>
      <c r="G1118" s="2" t="s">
        <v>10</v>
      </c>
      <c r="H1118" s="2" t="s">
        <v>394</v>
      </c>
      <c r="I1118" s="2" t="s">
        <v>395</v>
      </c>
      <c r="J1118" s="2">
        <v>102753</v>
      </c>
      <c r="K1118" s="2" t="s">
        <v>396</v>
      </c>
      <c r="L1118" s="2" t="s">
        <v>14</v>
      </c>
      <c r="M1118" t="str">
        <f t="shared" si="99"/>
        <v>Roumégas Marie</v>
      </c>
      <c r="Q1118" t="str">
        <f t="shared" si="95"/>
        <v>102753mroumegas</v>
      </c>
    </row>
    <row r="1119" spans="1:17" hidden="1" x14ac:dyDescent="0.4">
      <c r="A1119">
        <v>1332</v>
      </c>
      <c r="B1119" s="2"/>
      <c r="C1119" s="4">
        <v>45909</v>
      </c>
      <c r="D1119" s="5">
        <v>0.5</v>
      </c>
      <c r="E1119" s="5">
        <v>0.54166666666666663</v>
      </c>
      <c r="F1119" s="2" t="s">
        <v>9</v>
      </c>
      <c r="G1119" s="2" t="s">
        <v>10</v>
      </c>
      <c r="H1119" s="2" t="s">
        <v>113</v>
      </c>
      <c r="I1119" s="2" t="s">
        <v>114</v>
      </c>
      <c r="J1119" s="2">
        <v>102753</v>
      </c>
      <c r="K1119" s="2" t="s">
        <v>115</v>
      </c>
      <c r="L1119" s="2" t="s">
        <v>14</v>
      </c>
      <c r="M1119" t="str">
        <f t="shared" si="99"/>
        <v>Roussev Chloé</v>
      </c>
      <c r="Q1119" t="str">
        <f t="shared" si="95"/>
        <v>102753croussev</v>
      </c>
    </row>
    <row r="1120" spans="1:17" hidden="1" x14ac:dyDescent="0.4">
      <c r="A1120">
        <v>1333</v>
      </c>
      <c r="B1120" s="2"/>
      <c r="C1120" s="4">
        <v>45908</v>
      </c>
      <c r="D1120" s="5">
        <v>0.66666666666666663</v>
      </c>
      <c r="E1120" s="5">
        <v>0.72916666666666663</v>
      </c>
      <c r="F1120" s="2" t="s">
        <v>9</v>
      </c>
      <c r="G1120" s="2" t="s">
        <v>10</v>
      </c>
      <c r="H1120" s="2" t="s">
        <v>87</v>
      </c>
      <c r="I1120" s="2" t="s">
        <v>88</v>
      </c>
      <c r="J1120" s="2">
        <v>104855</v>
      </c>
      <c r="K1120" s="2" t="s">
        <v>89</v>
      </c>
      <c r="L1120" s="2" t="s">
        <v>18</v>
      </c>
      <c r="M1120" t="str">
        <f t="shared" si="99"/>
        <v>Thevenin Alice</v>
      </c>
      <c r="Q1120" t="str">
        <f t="shared" si="95"/>
        <v>104855athevenin</v>
      </c>
    </row>
    <row r="1121" spans="1:17" hidden="1" x14ac:dyDescent="0.4">
      <c r="A1121">
        <v>1335</v>
      </c>
      <c r="B1121" s="2"/>
      <c r="C1121" s="4">
        <v>45908</v>
      </c>
      <c r="D1121" s="5">
        <v>0.58333333333333337</v>
      </c>
      <c r="E1121" s="5">
        <v>0.64583333333333337</v>
      </c>
      <c r="F1121" s="2" t="s">
        <v>9</v>
      </c>
      <c r="G1121" s="2" t="s">
        <v>10</v>
      </c>
      <c r="H1121" s="2" t="s">
        <v>87</v>
      </c>
      <c r="I1121" s="2" t="s">
        <v>88</v>
      </c>
      <c r="J1121" s="2">
        <v>104551</v>
      </c>
      <c r="K1121" s="2" t="s">
        <v>89</v>
      </c>
      <c r="L1121" s="2" t="s">
        <v>18</v>
      </c>
      <c r="M1121" t="str">
        <f t="shared" si="99"/>
        <v>Thevenin Alice</v>
      </c>
      <c r="Q1121" t="str">
        <f t="shared" si="95"/>
        <v>104551athevenin</v>
      </c>
    </row>
    <row r="1122" spans="1:17" hidden="1" x14ac:dyDescent="0.4">
      <c r="A1122">
        <v>1336</v>
      </c>
      <c r="B1122" s="2"/>
      <c r="C1122" s="4">
        <v>45908</v>
      </c>
      <c r="D1122" s="5">
        <v>0.47916666666666669</v>
      </c>
      <c r="E1122" s="5">
        <v>0.54166666666666663</v>
      </c>
      <c r="F1122" s="2" t="s">
        <v>9</v>
      </c>
      <c r="G1122" s="2" t="s">
        <v>10</v>
      </c>
      <c r="H1122" s="2" t="s">
        <v>87</v>
      </c>
      <c r="I1122" s="2" t="s">
        <v>88</v>
      </c>
      <c r="J1122" s="2">
        <v>104550</v>
      </c>
      <c r="K1122" s="2" t="s">
        <v>89</v>
      </c>
      <c r="L1122" s="2" t="s">
        <v>18</v>
      </c>
      <c r="M1122" t="str">
        <f t="shared" si="99"/>
        <v>Thevenin Alice</v>
      </c>
      <c r="Q1122" t="str">
        <f t="shared" si="95"/>
        <v>104550athevenin</v>
      </c>
    </row>
    <row r="1123" spans="1:17" hidden="1" x14ac:dyDescent="0.4">
      <c r="A1123">
        <v>1337</v>
      </c>
      <c r="B1123" s="2"/>
      <c r="C1123" s="4">
        <v>45908</v>
      </c>
      <c r="D1123" s="5">
        <v>0.375</v>
      </c>
      <c r="E1123" s="5">
        <v>0.4375</v>
      </c>
      <c r="F1123" s="2" t="s">
        <v>9</v>
      </c>
      <c r="G1123" s="2" t="s">
        <v>10</v>
      </c>
      <c r="H1123" s="2" t="s">
        <v>87</v>
      </c>
      <c r="I1123" s="2" t="s">
        <v>88</v>
      </c>
      <c r="J1123" s="2">
        <v>102916</v>
      </c>
      <c r="K1123" s="2" t="s">
        <v>89</v>
      </c>
      <c r="L1123" s="2" t="s">
        <v>18</v>
      </c>
      <c r="M1123" t="str">
        <f t="shared" si="99"/>
        <v>Thevenin Alice</v>
      </c>
      <c r="Q1123" t="str">
        <f t="shared" si="95"/>
        <v>102916athevenin</v>
      </c>
    </row>
    <row r="1124" spans="1:17" hidden="1" x14ac:dyDescent="0.4">
      <c r="A1124">
        <v>1338</v>
      </c>
      <c r="B1124" s="2"/>
      <c r="C1124" s="4">
        <v>45909</v>
      </c>
      <c r="D1124" s="5">
        <v>0.5</v>
      </c>
      <c r="E1124" s="5">
        <v>0.54166666666666663</v>
      </c>
      <c r="F1124" s="2" t="s">
        <v>9</v>
      </c>
      <c r="G1124" s="2" t="s">
        <v>10</v>
      </c>
      <c r="H1124" s="2" t="s">
        <v>447</v>
      </c>
      <c r="I1124" s="2" t="s">
        <v>448</v>
      </c>
      <c r="J1124" s="2">
        <v>102753</v>
      </c>
      <c r="K1124" s="2" t="s">
        <v>449</v>
      </c>
      <c r="L1124" s="2" t="s">
        <v>14</v>
      </c>
      <c r="M1124" t="str">
        <f t="shared" si="99"/>
        <v>Royer Noé</v>
      </c>
      <c r="Q1124" t="str">
        <f t="shared" si="95"/>
        <v>102753nroyer</v>
      </c>
    </row>
    <row r="1125" spans="1:17" hidden="1" x14ac:dyDescent="0.4">
      <c r="A1125">
        <v>1339</v>
      </c>
      <c r="B1125" s="2"/>
      <c r="C1125" s="4">
        <v>45909</v>
      </c>
      <c r="D1125" s="5">
        <v>0.5</v>
      </c>
      <c r="E1125" s="5">
        <v>0.54166666666666663</v>
      </c>
      <c r="F1125" s="2" t="s">
        <v>9</v>
      </c>
      <c r="G1125" s="2" t="s">
        <v>10</v>
      </c>
      <c r="H1125" s="2" t="s">
        <v>220</v>
      </c>
      <c r="I1125" s="2" t="s">
        <v>213</v>
      </c>
      <c r="J1125" s="2">
        <v>102753</v>
      </c>
      <c r="K1125" s="2" t="s">
        <v>221</v>
      </c>
      <c r="L1125" s="2" t="s">
        <v>14</v>
      </c>
      <c r="M1125" t="str">
        <f t="shared" si="99"/>
        <v>Sardier Guillaume</v>
      </c>
      <c r="Q1125" t="str">
        <f t="shared" si="95"/>
        <v>102753gsardier</v>
      </c>
    </row>
    <row r="1126" spans="1:17" hidden="1" x14ac:dyDescent="0.4">
      <c r="A1126">
        <v>1340</v>
      </c>
      <c r="B1126" s="2"/>
      <c r="C1126" s="4">
        <v>45908</v>
      </c>
      <c r="D1126" s="5">
        <v>0.66666666666666663</v>
      </c>
      <c r="E1126" s="5">
        <v>0.72916666666666663</v>
      </c>
      <c r="F1126" s="2" t="s">
        <v>9</v>
      </c>
      <c r="G1126" s="2" t="s">
        <v>10</v>
      </c>
      <c r="H1126" s="2" t="s">
        <v>119</v>
      </c>
      <c r="I1126" s="2" t="s">
        <v>120</v>
      </c>
      <c r="J1126" s="2">
        <v>104855</v>
      </c>
      <c r="K1126" s="2" t="s">
        <v>121</v>
      </c>
      <c r="L1126" s="2" t="s">
        <v>18</v>
      </c>
      <c r="M1126" t="str">
        <f>I1126 &amp; " " &amp; K1126</f>
        <v>Célestin Tissus</v>
      </c>
      <c r="Q1126" t="str">
        <f t="shared" si="95"/>
        <v>104855ctissus</v>
      </c>
    </row>
    <row r="1127" spans="1:17" hidden="1" x14ac:dyDescent="0.4">
      <c r="A1127">
        <v>1342</v>
      </c>
      <c r="B1127" s="2"/>
      <c r="C1127" s="4">
        <v>45908</v>
      </c>
      <c r="D1127" s="5">
        <v>0.58333333333333337</v>
      </c>
      <c r="E1127" s="5">
        <v>0.64583333333333337</v>
      </c>
      <c r="F1127" s="2" t="s">
        <v>9</v>
      </c>
      <c r="G1127" s="2" t="s">
        <v>10</v>
      </c>
      <c r="H1127" s="2" t="s">
        <v>119</v>
      </c>
      <c r="I1127" s="2" t="s">
        <v>120</v>
      </c>
      <c r="J1127" s="2">
        <v>104551</v>
      </c>
      <c r="K1127" s="2" t="s">
        <v>121</v>
      </c>
      <c r="L1127" s="2" t="s">
        <v>18</v>
      </c>
      <c r="M1127" t="str">
        <f>K1127 &amp; " " &amp; I1127</f>
        <v>Tissus Célestin</v>
      </c>
      <c r="Q1127" t="str">
        <f t="shared" si="95"/>
        <v>104551ctissus</v>
      </c>
    </row>
    <row r="1128" spans="1:17" hidden="1" x14ac:dyDescent="0.4">
      <c r="A1128">
        <v>1343</v>
      </c>
      <c r="B1128" s="2"/>
      <c r="C1128" s="4">
        <v>45908</v>
      </c>
      <c r="D1128" s="5">
        <v>0.47916666666666669</v>
      </c>
      <c r="E1128" s="5">
        <v>0.54166666666666663</v>
      </c>
      <c r="F1128" s="2" t="s">
        <v>9</v>
      </c>
      <c r="G1128" s="2" t="s">
        <v>10</v>
      </c>
      <c r="H1128" s="2" t="s">
        <v>119</v>
      </c>
      <c r="I1128" s="2" t="s">
        <v>120</v>
      </c>
      <c r="J1128" s="2">
        <v>104550</v>
      </c>
      <c r="K1128" s="2" t="s">
        <v>121</v>
      </c>
      <c r="L1128" s="2" t="s">
        <v>18</v>
      </c>
      <c r="M1128" t="str">
        <f>I1128 &amp; " " &amp; K1128</f>
        <v>Célestin Tissus</v>
      </c>
      <c r="Q1128" t="str">
        <f t="shared" si="95"/>
        <v>104550ctissus</v>
      </c>
    </row>
    <row r="1129" spans="1:17" hidden="1" x14ac:dyDescent="0.4">
      <c r="A1129">
        <v>1344</v>
      </c>
      <c r="B1129" s="2"/>
      <c r="C1129" s="4">
        <v>45908</v>
      </c>
      <c r="D1129" s="5">
        <v>0.375</v>
      </c>
      <c r="E1129" s="5">
        <v>0.4375</v>
      </c>
      <c r="F1129" s="2" t="s">
        <v>9</v>
      </c>
      <c r="G1129" s="2" t="s">
        <v>10</v>
      </c>
      <c r="H1129" s="2" t="s">
        <v>119</v>
      </c>
      <c r="I1129" s="2" t="s">
        <v>120</v>
      </c>
      <c r="J1129" s="2">
        <v>102916</v>
      </c>
      <c r="K1129" s="2" t="s">
        <v>121</v>
      </c>
      <c r="L1129" s="2" t="s">
        <v>18</v>
      </c>
      <c r="M1129" t="str">
        <f>K1129 &amp; " " &amp; I1129</f>
        <v>Tissus Célestin</v>
      </c>
      <c r="Q1129" t="str">
        <f t="shared" si="95"/>
        <v>102916ctissus</v>
      </c>
    </row>
    <row r="1130" spans="1:17" hidden="1" x14ac:dyDescent="0.4">
      <c r="A1130">
        <v>1345</v>
      </c>
      <c r="B1130" s="2"/>
      <c r="C1130" s="4">
        <v>45909</v>
      </c>
      <c r="D1130" s="5">
        <v>0.5</v>
      </c>
      <c r="E1130" s="5">
        <v>0.54166666666666663</v>
      </c>
      <c r="F1130" s="2" t="s">
        <v>9</v>
      </c>
      <c r="G1130" s="2" t="s">
        <v>10</v>
      </c>
      <c r="H1130" s="2" t="s">
        <v>341</v>
      </c>
      <c r="I1130" s="2" t="s">
        <v>313</v>
      </c>
      <c r="J1130" s="2">
        <v>102753</v>
      </c>
      <c r="K1130" s="2" t="s">
        <v>342</v>
      </c>
      <c r="L1130" s="2" t="s">
        <v>18</v>
      </c>
      <c r="M1130" t="str">
        <f>I1130 &amp; " " &amp; K1130</f>
        <v>Louis Sardina Meesemaecker</v>
      </c>
      <c r="Q1130" t="str">
        <f t="shared" si="95"/>
        <v>102753lsardinameesemaecker</v>
      </c>
    </row>
    <row r="1131" spans="1:17" hidden="1" x14ac:dyDescent="0.4">
      <c r="A1131">
        <v>1346</v>
      </c>
      <c r="B1131" s="2"/>
      <c r="C1131" s="4">
        <v>45909</v>
      </c>
      <c r="D1131" s="5">
        <v>0.5</v>
      </c>
      <c r="E1131" s="5">
        <v>0.54166666666666663</v>
      </c>
      <c r="F1131" s="2" t="s">
        <v>9</v>
      </c>
      <c r="G1131" s="2" t="s">
        <v>10</v>
      </c>
      <c r="H1131" s="2" t="s">
        <v>238</v>
      </c>
      <c r="I1131" s="2" t="s">
        <v>239</v>
      </c>
      <c r="J1131" s="2">
        <v>102753</v>
      </c>
      <c r="K1131" s="2" t="s">
        <v>240</v>
      </c>
      <c r="L1131" s="2" t="s">
        <v>18</v>
      </c>
      <c r="M1131" t="str">
        <f>I1131 &amp; " " &amp; K1131</f>
        <v>Hiromi Sato</v>
      </c>
      <c r="Q1131" t="str">
        <f t="shared" ref="Q1131:Q1185" si="100">J1131&amp;H1131</f>
        <v>102753hsato</v>
      </c>
    </row>
    <row r="1132" spans="1:17" hidden="1" x14ac:dyDescent="0.4">
      <c r="A1132">
        <v>1347</v>
      </c>
      <c r="B1132" s="2"/>
      <c r="C1132" s="4">
        <v>45908</v>
      </c>
      <c r="D1132" s="5">
        <v>0.66666666666666663</v>
      </c>
      <c r="E1132" s="5">
        <v>0.72916666666666663</v>
      </c>
      <c r="F1132" s="2" t="s">
        <v>9</v>
      </c>
      <c r="G1132" s="2" t="s">
        <v>10</v>
      </c>
      <c r="H1132" s="2" t="s">
        <v>90</v>
      </c>
      <c r="I1132" s="2" t="s">
        <v>91</v>
      </c>
      <c r="J1132" s="2">
        <v>104855</v>
      </c>
      <c r="K1132" s="2" t="s">
        <v>92</v>
      </c>
      <c r="L1132" s="2" t="s">
        <v>14</v>
      </c>
      <c r="M1132" t="str">
        <f t="shared" ref="M1132:M1141" si="101">K1132 &amp; " " &amp; I1132</f>
        <v>Torres Afonso</v>
      </c>
      <c r="Q1132" t="str">
        <f t="shared" si="100"/>
        <v>104855atorres</v>
      </c>
    </row>
    <row r="1133" spans="1:17" hidden="1" x14ac:dyDescent="0.4">
      <c r="A1133">
        <v>1349</v>
      </c>
      <c r="B1133" s="2"/>
      <c r="C1133" s="4">
        <v>45908</v>
      </c>
      <c r="D1133" s="5">
        <v>0.58333333333333337</v>
      </c>
      <c r="E1133" s="5">
        <v>0.64583333333333337</v>
      </c>
      <c r="F1133" s="2" t="s">
        <v>9</v>
      </c>
      <c r="G1133" s="2" t="s">
        <v>10</v>
      </c>
      <c r="H1133" s="2" t="s">
        <v>90</v>
      </c>
      <c r="I1133" s="2" t="s">
        <v>91</v>
      </c>
      <c r="J1133" s="2">
        <v>104551</v>
      </c>
      <c r="K1133" s="2" t="s">
        <v>92</v>
      </c>
      <c r="L1133" s="2" t="s">
        <v>14</v>
      </c>
      <c r="M1133" t="str">
        <f t="shared" si="101"/>
        <v>Torres Afonso</v>
      </c>
      <c r="Q1133" t="str">
        <f t="shared" si="100"/>
        <v>104551atorres</v>
      </c>
    </row>
    <row r="1134" spans="1:17" hidden="1" x14ac:dyDescent="0.4">
      <c r="A1134">
        <v>1350</v>
      </c>
      <c r="B1134" s="2"/>
      <c r="C1134" s="4">
        <v>45908</v>
      </c>
      <c r="D1134" s="5">
        <v>0.47916666666666669</v>
      </c>
      <c r="E1134" s="5">
        <v>0.54166666666666663</v>
      </c>
      <c r="F1134" s="2" t="s">
        <v>9</v>
      </c>
      <c r="G1134" s="2" t="s">
        <v>10</v>
      </c>
      <c r="H1134" s="2" t="s">
        <v>90</v>
      </c>
      <c r="I1134" s="2" t="s">
        <v>91</v>
      </c>
      <c r="J1134" s="2">
        <v>104550</v>
      </c>
      <c r="K1134" s="2" t="s">
        <v>92</v>
      </c>
      <c r="L1134" s="2" t="s">
        <v>14</v>
      </c>
      <c r="M1134" t="str">
        <f t="shared" si="101"/>
        <v>Torres Afonso</v>
      </c>
      <c r="Q1134" t="str">
        <f t="shared" si="100"/>
        <v>104550atorres</v>
      </c>
    </row>
    <row r="1135" spans="1:17" hidden="1" x14ac:dyDescent="0.4">
      <c r="A1135">
        <v>1351</v>
      </c>
      <c r="B1135" s="2"/>
      <c r="C1135" s="4">
        <v>45908</v>
      </c>
      <c r="D1135" s="5">
        <v>0.375</v>
      </c>
      <c r="E1135" s="5">
        <v>0.4375</v>
      </c>
      <c r="F1135" s="2" t="s">
        <v>9</v>
      </c>
      <c r="G1135" s="2" t="s">
        <v>10</v>
      </c>
      <c r="H1135" s="2" t="s">
        <v>90</v>
      </c>
      <c r="I1135" s="2" t="s">
        <v>91</v>
      </c>
      <c r="J1135" s="2">
        <v>102916</v>
      </c>
      <c r="K1135" s="2" t="s">
        <v>92</v>
      </c>
      <c r="L1135" s="2" t="s">
        <v>14</v>
      </c>
      <c r="M1135" t="str">
        <f t="shared" si="101"/>
        <v>Torres Afonso</v>
      </c>
      <c r="Q1135" t="str">
        <f t="shared" si="100"/>
        <v>102916atorres</v>
      </c>
    </row>
    <row r="1136" spans="1:17" hidden="1" x14ac:dyDescent="0.4">
      <c r="A1136">
        <v>1352</v>
      </c>
      <c r="B1136" s="2"/>
      <c r="C1136" s="4">
        <v>45909</v>
      </c>
      <c r="D1136" s="5">
        <v>0.5</v>
      </c>
      <c r="E1136" s="5">
        <v>0.54166666666666663</v>
      </c>
      <c r="F1136" s="2" t="s">
        <v>9</v>
      </c>
      <c r="G1136" s="2" t="s">
        <v>10</v>
      </c>
      <c r="H1136" s="2" t="s">
        <v>476</v>
      </c>
      <c r="I1136" s="2" t="s">
        <v>477</v>
      </c>
      <c r="J1136" s="2">
        <v>102753</v>
      </c>
      <c r="K1136" s="2" t="s">
        <v>478</v>
      </c>
      <c r="L1136" s="2" t="s">
        <v>14</v>
      </c>
      <c r="M1136" t="str">
        <f t="shared" si="101"/>
        <v>Schena Paolo</v>
      </c>
      <c r="Q1136" t="str">
        <f t="shared" si="100"/>
        <v>102753pnschena</v>
      </c>
    </row>
    <row r="1137" spans="1:17" hidden="1" x14ac:dyDescent="0.4">
      <c r="A1137">
        <v>1353</v>
      </c>
      <c r="B1137" s="2"/>
      <c r="C1137" s="4">
        <v>45909</v>
      </c>
      <c r="D1137" s="5">
        <v>0.5</v>
      </c>
      <c r="E1137" s="5">
        <v>0.54166666666666663</v>
      </c>
      <c r="F1137" s="2" t="s">
        <v>9</v>
      </c>
      <c r="G1137" s="2" t="s">
        <v>10</v>
      </c>
      <c r="H1137" s="2" t="s">
        <v>536</v>
      </c>
      <c r="I1137" s="2" t="s">
        <v>537</v>
      </c>
      <c r="J1137" s="2">
        <v>102753</v>
      </c>
      <c r="K1137" s="2" t="s">
        <v>538</v>
      </c>
      <c r="L1137" s="2" t="s">
        <v>18</v>
      </c>
      <c r="M1137" t="str">
        <f t="shared" si="101"/>
        <v>Schuurman Solveig</v>
      </c>
      <c r="Q1137" t="str">
        <f t="shared" si="100"/>
        <v>102753sschuurman</v>
      </c>
    </row>
    <row r="1138" spans="1:17" hidden="1" x14ac:dyDescent="0.4">
      <c r="A1138">
        <v>1354</v>
      </c>
      <c r="B1138" s="2"/>
      <c r="C1138" s="4">
        <v>45908</v>
      </c>
      <c r="D1138" s="5">
        <v>0.66666666666666663</v>
      </c>
      <c r="E1138" s="5">
        <v>0.72916666666666663</v>
      </c>
      <c r="F1138" s="2" t="s">
        <v>9</v>
      </c>
      <c r="G1138" s="2" t="s">
        <v>10</v>
      </c>
      <c r="H1138" s="2" t="s">
        <v>409</v>
      </c>
      <c r="I1138" s="2" t="s">
        <v>410</v>
      </c>
      <c r="J1138" s="2">
        <v>104855</v>
      </c>
      <c r="K1138" s="2" t="s">
        <v>411</v>
      </c>
      <c r="L1138" s="2" t="s">
        <v>14</v>
      </c>
      <c r="M1138" t="str">
        <f t="shared" si="101"/>
        <v>Ulrich Matéo</v>
      </c>
      <c r="Q1138" t="str">
        <f t="shared" si="100"/>
        <v>104855mulrich</v>
      </c>
    </row>
    <row r="1139" spans="1:17" hidden="1" x14ac:dyDescent="0.4">
      <c r="A1139">
        <v>1356</v>
      </c>
      <c r="B1139" s="2"/>
      <c r="C1139" s="4">
        <v>45908</v>
      </c>
      <c r="D1139" s="5">
        <v>0.58333333333333337</v>
      </c>
      <c r="E1139" s="5">
        <v>0.64583333333333337</v>
      </c>
      <c r="F1139" s="2" t="s">
        <v>9</v>
      </c>
      <c r="G1139" s="2" t="s">
        <v>10</v>
      </c>
      <c r="H1139" s="2" t="s">
        <v>409</v>
      </c>
      <c r="I1139" s="2" t="s">
        <v>410</v>
      </c>
      <c r="J1139" s="2">
        <v>104551</v>
      </c>
      <c r="K1139" s="2" t="s">
        <v>411</v>
      </c>
      <c r="L1139" s="2" t="s">
        <v>14</v>
      </c>
      <c r="M1139" t="str">
        <f t="shared" si="101"/>
        <v>Ulrich Matéo</v>
      </c>
      <c r="Q1139" t="str">
        <f t="shared" si="100"/>
        <v>104551mulrich</v>
      </c>
    </row>
    <row r="1140" spans="1:17" hidden="1" x14ac:dyDescent="0.4">
      <c r="A1140">
        <v>1357</v>
      </c>
      <c r="B1140" s="2"/>
      <c r="C1140" s="4">
        <v>45908</v>
      </c>
      <c r="D1140" s="5">
        <v>0.47916666666666669</v>
      </c>
      <c r="E1140" s="5">
        <v>0.54166666666666663</v>
      </c>
      <c r="F1140" s="2" t="s">
        <v>9</v>
      </c>
      <c r="G1140" s="2" t="s">
        <v>10</v>
      </c>
      <c r="H1140" s="2" t="s">
        <v>409</v>
      </c>
      <c r="I1140" s="2" t="s">
        <v>410</v>
      </c>
      <c r="J1140" s="2">
        <v>104550</v>
      </c>
      <c r="K1140" s="2" t="s">
        <v>411</v>
      </c>
      <c r="L1140" s="2" t="s">
        <v>14</v>
      </c>
      <c r="M1140" t="str">
        <f t="shared" si="101"/>
        <v>Ulrich Matéo</v>
      </c>
      <c r="Q1140" t="str">
        <f t="shared" si="100"/>
        <v>104550mulrich</v>
      </c>
    </row>
    <row r="1141" spans="1:17" hidden="1" x14ac:dyDescent="0.4">
      <c r="A1141">
        <v>1358</v>
      </c>
      <c r="B1141" s="2"/>
      <c r="C1141" s="4">
        <v>45908</v>
      </c>
      <c r="D1141" s="5">
        <v>0.375</v>
      </c>
      <c r="E1141" s="5">
        <v>0.4375</v>
      </c>
      <c r="F1141" s="2" t="s">
        <v>9</v>
      </c>
      <c r="G1141" s="2" t="s">
        <v>10</v>
      </c>
      <c r="H1141" s="2" t="s">
        <v>409</v>
      </c>
      <c r="I1141" s="2" t="s">
        <v>410</v>
      </c>
      <c r="J1141" s="2">
        <v>102916</v>
      </c>
      <c r="K1141" s="2" t="s">
        <v>411</v>
      </c>
      <c r="L1141" s="2" t="s">
        <v>14</v>
      </c>
      <c r="M1141" t="str">
        <f t="shared" si="101"/>
        <v>Ulrich Matéo</v>
      </c>
      <c r="Q1141" t="str">
        <f t="shared" si="100"/>
        <v>102916mulrich</v>
      </c>
    </row>
    <row r="1142" spans="1:17" hidden="1" x14ac:dyDescent="0.4">
      <c r="A1142">
        <v>1359</v>
      </c>
      <c r="B1142" s="2"/>
      <c r="C1142" s="4">
        <v>45909</v>
      </c>
      <c r="D1142" s="5">
        <v>0.5</v>
      </c>
      <c r="E1142" s="5">
        <v>0.54166666666666663</v>
      </c>
      <c r="F1142" s="2" t="s">
        <v>9</v>
      </c>
      <c r="G1142" s="2" t="s">
        <v>10</v>
      </c>
      <c r="H1142" s="2" t="s">
        <v>397</v>
      </c>
      <c r="I1142" s="2" t="s">
        <v>398</v>
      </c>
      <c r="J1142" s="2">
        <v>102753</v>
      </c>
      <c r="K1142" s="2" t="s">
        <v>399</v>
      </c>
      <c r="L1142" s="2" t="s">
        <v>18</v>
      </c>
      <c r="M1142" t="str">
        <f>I1142 &amp; " " &amp; K1142</f>
        <v>Manon Sekfali-Bonnier</v>
      </c>
      <c r="Q1142" t="str">
        <f t="shared" si="100"/>
        <v>102753msekfalibonnier</v>
      </c>
    </row>
    <row r="1143" spans="1:17" hidden="1" x14ac:dyDescent="0.4">
      <c r="A1143">
        <v>1360</v>
      </c>
      <c r="B1143" s="2"/>
      <c r="C1143" s="4">
        <v>45909</v>
      </c>
      <c r="D1143" s="5">
        <v>0.5</v>
      </c>
      <c r="E1143" s="5">
        <v>0.54166666666666663</v>
      </c>
      <c r="F1143" s="2" t="s">
        <v>9</v>
      </c>
      <c r="G1143" s="2" t="s">
        <v>10</v>
      </c>
      <c r="H1143" s="2" t="s">
        <v>400</v>
      </c>
      <c r="I1143" s="2" t="s">
        <v>401</v>
      </c>
      <c r="J1143" s="2">
        <v>102753</v>
      </c>
      <c r="K1143" s="2" t="s">
        <v>402</v>
      </c>
      <c r="L1143" s="2" t="s">
        <v>18</v>
      </c>
      <c r="M1143" t="str">
        <f>I1143 &amp; " " &amp; K1143</f>
        <v>Mai Seto</v>
      </c>
      <c r="Q1143" t="str">
        <f t="shared" si="100"/>
        <v>102753mseto</v>
      </c>
    </row>
    <row r="1144" spans="1:17" hidden="1" x14ac:dyDescent="0.4">
      <c r="A1144">
        <v>1361</v>
      </c>
      <c r="B1144" s="2"/>
      <c r="C1144" s="4">
        <v>45908</v>
      </c>
      <c r="D1144" s="5">
        <v>0.66666666666666663</v>
      </c>
      <c r="E1144" s="5">
        <v>0.72916666666666663</v>
      </c>
      <c r="F1144" s="2" t="s">
        <v>9</v>
      </c>
      <c r="G1144" s="2" t="s">
        <v>10</v>
      </c>
      <c r="H1144" s="2" t="s">
        <v>253</v>
      </c>
      <c r="I1144" s="2" t="s">
        <v>251</v>
      </c>
      <c r="J1144" s="2">
        <v>104855</v>
      </c>
      <c r="K1144" s="2" t="s">
        <v>254</v>
      </c>
      <c r="L1144" s="2" t="s">
        <v>18</v>
      </c>
      <c r="M1144" t="str">
        <f>I1144 &amp; " " &amp; K1144</f>
        <v>Ivan Valem</v>
      </c>
      <c r="Q1144" t="str">
        <f t="shared" si="100"/>
        <v>104855ivalem</v>
      </c>
    </row>
    <row r="1145" spans="1:17" hidden="1" x14ac:dyDescent="0.4">
      <c r="A1145">
        <v>1363</v>
      </c>
      <c r="B1145" s="2"/>
      <c r="C1145" s="4">
        <v>45908</v>
      </c>
      <c r="D1145" s="5">
        <v>0.58333333333333337</v>
      </c>
      <c r="E1145" s="5">
        <v>0.64583333333333337</v>
      </c>
      <c r="F1145" s="2" t="s">
        <v>9</v>
      </c>
      <c r="G1145" s="2" t="s">
        <v>10</v>
      </c>
      <c r="H1145" s="2" t="s">
        <v>253</v>
      </c>
      <c r="I1145" s="2" t="s">
        <v>251</v>
      </c>
      <c r="J1145" s="2">
        <v>104551</v>
      </c>
      <c r="K1145" s="2" t="s">
        <v>254</v>
      </c>
      <c r="L1145" s="2" t="s">
        <v>18</v>
      </c>
      <c r="M1145" t="str">
        <f>K1145 &amp; " " &amp; I1145</f>
        <v>Valem Ivan</v>
      </c>
      <c r="Q1145" t="str">
        <f t="shared" si="100"/>
        <v>104551ivalem</v>
      </c>
    </row>
    <row r="1146" spans="1:17" hidden="1" x14ac:dyDescent="0.4">
      <c r="A1146">
        <v>1364</v>
      </c>
      <c r="B1146" s="2"/>
      <c r="C1146" s="4">
        <v>45908</v>
      </c>
      <c r="D1146" s="5">
        <v>0.47916666666666669</v>
      </c>
      <c r="E1146" s="5">
        <v>0.54166666666666663</v>
      </c>
      <c r="F1146" s="2" t="s">
        <v>9</v>
      </c>
      <c r="G1146" s="2" t="s">
        <v>10</v>
      </c>
      <c r="H1146" s="2" t="s">
        <v>253</v>
      </c>
      <c r="I1146" s="2" t="s">
        <v>251</v>
      </c>
      <c r="J1146" s="2">
        <v>104550</v>
      </c>
      <c r="K1146" s="2" t="s">
        <v>254</v>
      </c>
      <c r="L1146" s="2" t="s">
        <v>18</v>
      </c>
      <c r="M1146" t="str">
        <f>I1146 &amp; " " &amp; K1146</f>
        <v>Ivan Valem</v>
      </c>
      <c r="Q1146" t="str">
        <f t="shared" si="100"/>
        <v>104550ivalem</v>
      </c>
    </row>
    <row r="1147" spans="1:17" hidden="1" x14ac:dyDescent="0.4">
      <c r="A1147">
        <v>1365</v>
      </c>
      <c r="B1147" s="2"/>
      <c r="C1147" s="4">
        <v>45908</v>
      </c>
      <c r="D1147" s="5">
        <v>0.375</v>
      </c>
      <c r="E1147" s="5">
        <v>0.4375</v>
      </c>
      <c r="F1147" s="2" t="s">
        <v>9</v>
      </c>
      <c r="G1147" s="2" t="s">
        <v>10</v>
      </c>
      <c r="H1147" s="2" t="s">
        <v>253</v>
      </c>
      <c r="I1147" s="2" t="s">
        <v>251</v>
      </c>
      <c r="J1147" s="2">
        <v>102916</v>
      </c>
      <c r="K1147" s="2" t="s">
        <v>254</v>
      </c>
      <c r="L1147" s="2" t="s">
        <v>18</v>
      </c>
      <c r="M1147" t="str">
        <f>I1147 &amp; " " &amp; K1147</f>
        <v>Ivan Valem</v>
      </c>
      <c r="Q1147" t="str">
        <f t="shared" si="100"/>
        <v>102916ivalem</v>
      </c>
    </row>
    <row r="1148" spans="1:17" hidden="1" x14ac:dyDescent="0.4">
      <c r="A1148">
        <v>1366</v>
      </c>
      <c r="B1148" s="2"/>
      <c r="C1148" s="4">
        <v>45909</v>
      </c>
      <c r="D1148" s="5">
        <v>0.5</v>
      </c>
      <c r="E1148" s="5">
        <v>0.54166666666666663</v>
      </c>
      <c r="F1148" s="2" t="s">
        <v>9</v>
      </c>
      <c r="G1148" s="2" t="s">
        <v>10</v>
      </c>
      <c r="H1148" s="2" t="s">
        <v>184</v>
      </c>
      <c r="I1148" s="2" t="s">
        <v>185</v>
      </c>
      <c r="J1148" s="2">
        <v>102753</v>
      </c>
      <c r="K1148" s="2" t="s">
        <v>186</v>
      </c>
      <c r="L1148" s="2" t="s">
        <v>18</v>
      </c>
      <c r="M1148" t="str">
        <f>I1148 &amp; " " &amp; K1148</f>
        <v>Elisio Sezestre</v>
      </c>
      <c r="Q1148" t="str">
        <f t="shared" si="100"/>
        <v>102753esezestre</v>
      </c>
    </row>
    <row r="1149" spans="1:17" hidden="1" x14ac:dyDescent="0.4">
      <c r="A1149">
        <v>1367</v>
      </c>
      <c r="B1149" s="2"/>
      <c r="C1149" s="4">
        <v>45909</v>
      </c>
      <c r="D1149" s="5">
        <v>0.5</v>
      </c>
      <c r="E1149" s="5">
        <v>0.54166666666666663</v>
      </c>
      <c r="F1149" s="2" t="s">
        <v>9</v>
      </c>
      <c r="G1149" s="2" t="s">
        <v>10</v>
      </c>
      <c r="H1149" s="2" t="s">
        <v>403</v>
      </c>
      <c r="I1149" s="2" t="s">
        <v>404</v>
      </c>
      <c r="J1149" s="2">
        <v>102753</v>
      </c>
      <c r="K1149" s="2" t="s">
        <v>405</v>
      </c>
      <c r="L1149" s="2" t="s">
        <v>14</v>
      </c>
      <c r="M1149" t="str">
        <f>K1149 &amp; " " &amp; I1149</f>
        <v>Shcherbina Marina</v>
      </c>
      <c r="Q1149" t="str">
        <f t="shared" si="100"/>
        <v>102753mshcherbina</v>
      </c>
    </row>
    <row r="1150" spans="1:17" hidden="1" x14ac:dyDescent="0.4">
      <c r="A1150">
        <v>1368</v>
      </c>
      <c r="B1150" s="2"/>
      <c r="C1150" s="4">
        <v>45908</v>
      </c>
      <c r="D1150" s="5">
        <v>0.66666666666666663</v>
      </c>
      <c r="E1150" s="5">
        <v>0.72916666666666663</v>
      </c>
      <c r="F1150" s="2" t="s">
        <v>9</v>
      </c>
      <c r="G1150" s="2" t="s">
        <v>10</v>
      </c>
      <c r="H1150" s="2" t="s">
        <v>412</v>
      </c>
      <c r="I1150" s="2" t="s">
        <v>413</v>
      </c>
      <c r="J1150" s="2">
        <v>104855</v>
      </c>
      <c r="K1150" s="2" t="s">
        <v>414</v>
      </c>
      <c r="L1150" s="2" t="s">
        <v>18</v>
      </c>
      <c r="M1150" t="str">
        <f>I1150 &amp; " " &amp; K1150</f>
        <v>Marius Valero</v>
      </c>
      <c r="Q1150" t="str">
        <f t="shared" si="100"/>
        <v>104855mvalero</v>
      </c>
    </row>
    <row r="1151" spans="1:17" hidden="1" x14ac:dyDescent="0.4">
      <c r="A1151">
        <v>1370</v>
      </c>
      <c r="B1151" s="2"/>
      <c r="C1151" s="4">
        <v>45908</v>
      </c>
      <c r="D1151" s="5">
        <v>0.58333333333333337</v>
      </c>
      <c r="E1151" s="5">
        <v>0.64583333333333337</v>
      </c>
      <c r="F1151" s="2" t="s">
        <v>9</v>
      </c>
      <c r="G1151" s="2" t="s">
        <v>10</v>
      </c>
      <c r="H1151" s="2" t="s">
        <v>412</v>
      </c>
      <c r="I1151" s="2" t="s">
        <v>413</v>
      </c>
      <c r="J1151" s="2">
        <v>104551</v>
      </c>
      <c r="K1151" s="2" t="s">
        <v>414</v>
      </c>
      <c r="L1151" s="2" t="s">
        <v>18</v>
      </c>
      <c r="M1151" t="str">
        <f>I1151 &amp; " " &amp; K1151</f>
        <v>Marius Valero</v>
      </c>
      <c r="Q1151" t="str">
        <f t="shared" si="100"/>
        <v>104551mvalero</v>
      </c>
    </row>
    <row r="1152" spans="1:17" hidden="1" x14ac:dyDescent="0.4">
      <c r="A1152">
        <v>1371</v>
      </c>
      <c r="B1152" s="2"/>
      <c r="C1152" s="4">
        <v>45908</v>
      </c>
      <c r="D1152" s="5">
        <v>0.47916666666666669</v>
      </c>
      <c r="E1152" s="5">
        <v>0.54166666666666663</v>
      </c>
      <c r="F1152" s="2" t="s">
        <v>9</v>
      </c>
      <c r="G1152" s="2" t="s">
        <v>10</v>
      </c>
      <c r="H1152" s="2" t="s">
        <v>412</v>
      </c>
      <c r="I1152" s="2" t="s">
        <v>413</v>
      </c>
      <c r="J1152" s="2">
        <v>104550</v>
      </c>
      <c r="K1152" s="2" t="s">
        <v>414</v>
      </c>
      <c r="L1152" s="2" t="s">
        <v>14</v>
      </c>
      <c r="M1152" t="str">
        <f>K1152 &amp; " " &amp; I1152</f>
        <v>Valero Marius</v>
      </c>
      <c r="Q1152" t="str">
        <f t="shared" si="100"/>
        <v>104550mvalero</v>
      </c>
    </row>
    <row r="1153" spans="1:17" hidden="1" x14ac:dyDescent="0.4">
      <c r="A1153">
        <v>1372</v>
      </c>
      <c r="B1153" s="2"/>
      <c r="C1153" s="4">
        <v>45908</v>
      </c>
      <c r="D1153" s="5">
        <v>0.375</v>
      </c>
      <c r="E1153" s="5">
        <v>0.4375</v>
      </c>
      <c r="F1153" s="2" t="s">
        <v>9</v>
      </c>
      <c r="G1153" s="2" t="s">
        <v>10</v>
      </c>
      <c r="H1153" s="2" t="s">
        <v>412</v>
      </c>
      <c r="I1153" s="2" t="s">
        <v>413</v>
      </c>
      <c r="J1153" s="2">
        <v>102916</v>
      </c>
      <c r="K1153" s="2" t="s">
        <v>414</v>
      </c>
      <c r="L1153" s="2" t="s">
        <v>18</v>
      </c>
      <c r="M1153" t="str">
        <f>I1153 &amp; " " &amp; K1153</f>
        <v>Marius Valero</v>
      </c>
      <c r="Q1153" t="str">
        <f t="shared" si="100"/>
        <v>102916mvalero</v>
      </c>
    </row>
    <row r="1154" spans="1:17" hidden="1" x14ac:dyDescent="0.4">
      <c r="A1154">
        <v>1373</v>
      </c>
      <c r="B1154" s="2"/>
      <c r="C1154" s="4">
        <v>45909</v>
      </c>
      <c r="D1154" s="5">
        <v>0.5</v>
      </c>
      <c r="E1154" s="5">
        <v>0.54166666666666663</v>
      </c>
      <c r="F1154" s="2" t="s">
        <v>9</v>
      </c>
      <c r="G1154" s="2" t="s">
        <v>10</v>
      </c>
      <c r="H1154" s="2" t="s">
        <v>539</v>
      </c>
      <c r="I1154" s="2" t="s">
        <v>540</v>
      </c>
      <c r="J1154" s="2">
        <v>102753</v>
      </c>
      <c r="K1154" s="2" t="s">
        <v>541</v>
      </c>
      <c r="L1154" s="2" t="s">
        <v>14</v>
      </c>
      <c r="M1154" t="str">
        <f>K1154 &amp; " " &amp; I1154</f>
        <v>Shin Sungwon</v>
      </c>
      <c r="Q1154" t="str">
        <f t="shared" si="100"/>
        <v>102753sshin</v>
      </c>
    </row>
    <row r="1155" spans="1:17" hidden="1" x14ac:dyDescent="0.4">
      <c r="A1155">
        <v>1374</v>
      </c>
      <c r="B1155" s="2"/>
      <c r="C1155" s="4">
        <v>45909</v>
      </c>
      <c r="D1155" s="5">
        <v>0.5</v>
      </c>
      <c r="E1155" s="5">
        <v>0.54166666666666663</v>
      </c>
      <c r="F1155" s="2" t="s">
        <v>9</v>
      </c>
      <c r="G1155" s="2" t="s">
        <v>10</v>
      </c>
      <c r="H1155" s="2" t="s">
        <v>406</v>
      </c>
      <c r="I1155" s="2" t="s">
        <v>407</v>
      </c>
      <c r="J1155" s="2">
        <v>102753</v>
      </c>
      <c r="K1155" s="2" t="s">
        <v>408</v>
      </c>
      <c r="L1155" s="2" t="s">
        <v>18</v>
      </c>
      <c r="M1155" t="str">
        <f>I1155 &amp; " " &amp; K1155</f>
        <v>Masaki Shiozawa</v>
      </c>
      <c r="Q1155" t="str">
        <f t="shared" si="100"/>
        <v>102753mshiozawa</v>
      </c>
    </row>
    <row r="1156" spans="1:17" hidden="1" x14ac:dyDescent="0.4">
      <c r="A1156">
        <v>1375</v>
      </c>
      <c r="B1156" s="2"/>
      <c r="C1156" s="4">
        <v>45908</v>
      </c>
      <c r="D1156" s="5">
        <v>0.66666666666666663</v>
      </c>
      <c r="E1156" s="5">
        <v>0.72916666666666663</v>
      </c>
      <c r="F1156" s="2" t="s">
        <v>9</v>
      </c>
      <c r="G1156" s="2" t="s">
        <v>10</v>
      </c>
      <c r="H1156" s="2" t="s">
        <v>122</v>
      </c>
      <c r="I1156" s="2" t="s">
        <v>123</v>
      </c>
      <c r="J1156" s="2">
        <v>104855</v>
      </c>
      <c r="K1156" s="2" t="s">
        <v>124</v>
      </c>
      <c r="L1156" s="2" t="s">
        <v>14</v>
      </c>
      <c r="M1156" t="str">
        <f t="shared" ref="M1156:M1160" si="102">K1156 &amp; " " &amp; I1156</f>
        <v>Valla Pesendorfer Camille</v>
      </c>
      <c r="Q1156" t="str">
        <f t="shared" si="100"/>
        <v>104855cvallapesendorfer</v>
      </c>
    </row>
    <row r="1157" spans="1:17" hidden="1" x14ac:dyDescent="0.4">
      <c r="A1157">
        <v>1377</v>
      </c>
      <c r="B1157" s="2"/>
      <c r="C1157" s="4">
        <v>45908</v>
      </c>
      <c r="D1157" s="5">
        <v>0.58333333333333337</v>
      </c>
      <c r="E1157" s="5">
        <v>0.64583333333333337</v>
      </c>
      <c r="F1157" s="2" t="s">
        <v>9</v>
      </c>
      <c r="G1157" s="2" t="s">
        <v>10</v>
      </c>
      <c r="H1157" s="2" t="s">
        <v>122</v>
      </c>
      <c r="I1157" s="2" t="s">
        <v>123</v>
      </c>
      <c r="J1157" s="2">
        <v>104551</v>
      </c>
      <c r="K1157" s="2" t="s">
        <v>124</v>
      </c>
      <c r="L1157" s="2" t="s">
        <v>14</v>
      </c>
      <c r="M1157" t="str">
        <f t="shared" si="102"/>
        <v>Valla Pesendorfer Camille</v>
      </c>
      <c r="Q1157" t="str">
        <f t="shared" si="100"/>
        <v>104551cvallapesendorfer</v>
      </c>
    </row>
    <row r="1158" spans="1:17" hidden="1" x14ac:dyDescent="0.4">
      <c r="A1158">
        <v>1378</v>
      </c>
      <c r="B1158" s="2"/>
      <c r="C1158" s="4">
        <v>45908</v>
      </c>
      <c r="D1158" s="5">
        <v>0.47916666666666669</v>
      </c>
      <c r="E1158" s="5">
        <v>0.54166666666666663</v>
      </c>
      <c r="F1158" s="2" t="s">
        <v>9</v>
      </c>
      <c r="G1158" s="2" t="s">
        <v>10</v>
      </c>
      <c r="H1158" s="2" t="s">
        <v>122</v>
      </c>
      <c r="I1158" s="2" t="s">
        <v>123</v>
      </c>
      <c r="J1158" s="2">
        <v>104550</v>
      </c>
      <c r="K1158" s="2" t="s">
        <v>124</v>
      </c>
      <c r="L1158" s="2" t="s">
        <v>14</v>
      </c>
      <c r="M1158" t="str">
        <f t="shared" si="102"/>
        <v>Valla Pesendorfer Camille</v>
      </c>
      <c r="Q1158" t="str">
        <f t="shared" si="100"/>
        <v>104550cvallapesendorfer</v>
      </c>
    </row>
    <row r="1159" spans="1:17" hidden="1" x14ac:dyDescent="0.4">
      <c r="A1159">
        <v>1379</v>
      </c>
      <c r="B1159" s="2"/>
      <c r="C1159" s="4">
        <v>45908</v>
      </c>
      <c r="D1159" s="5">
        <v>0.375</v>
      </c>
      <c r="E1159" s="5">
        <v>0.4375</v>
      </c>
      <c r="F1159" s="2" t="s">
        <v>9</v>
      </c>
      <c r="G1159" s="2" t="s">
        <v>10</v>
      </c>
      <c r="H1159" s="2" t="s">
        <v>122</v>
      </c>
      <c r="I1159" s="2" t="s">
        <v>123</v>
      </c>
      <c r="J1159" s="2">
        <v>102916</v>
      </c>
      <c r="K1159" s="2" t="s">
        <v>124</v>
      </c>
      <c r="L1159" s="2" t="s">
        <v>14</v>
      </c>
      <c r="M1159" t="str">
        <f t="shared" si="102"/>
        <v>Valla Pesendorfer Camille</v>
      </c>
      <c r="Q1159" t="str">
        <f t="shared" si="100"/>
        <v>102916cvallapesendorfer</v>
      </c>
    </row>
    <row r="1160" spans="1:17" hidden="1" x14ac:dyDescent="0.4">
      <c r="A1160">
        <v>1380</v>
      </c>
      <c r="B1160" s="2"/>
      <c r="C1160" s="4">
        <v>45909</v>
      </c>
      <c r="D1160" s="5">
        <v>0.5</v>
      </c>
      <c r="E1160" s="5">
        <v>0.54166666666666663</v>
      </c>
      <c r="F1160" s="2" t="s">
        <v>9</v>
      </c>
      <c r="G1160" s="2" t="s">
        <v>10</v>
      </c>
      <c r="H1160" s="2" t="s">
        <v>140</v>
      </c>
      <c r="I1160" s="2" t="s">
        <v>141</v>
      </c>
      <c r="J1160" s="2">
        <v>102753</v>
      </c>
      <c r="K1160" s="2" t="s">
        <v>142</v>
      </c>
      <c r="L1160" s="2" t="s">
        <v>14</v>
      </c>
      <c r="M1160" t="str">
        <f t="shared" si="102"/>
        <v>Tabacaru David</v>
      </c>
      <c r="Q1160" t="str">
        <f t="shared" si="100"/>
        <v>102753dtabacaru</v>
      </c>
    </row>
    <row r="1161" spans="1:17" hidden="1" x14ac:dyDescent="0.4">
      <c r="A1161">
        <v>1381</v>
      </c>
      <c r="B1161" s="2"/>
      <c r="C1161" s="4">
        <v>45909</v>
      </c>
      <c r="D1161" s="5">
        <v>0.5</v>
      </c>
      <c r="E1161" s="5">
        <v>0.54166666666666663</v>
      </c>
      <c r="F1161" s="2" t="s">
        <v>9</v>
      </c>
      <c r="G1161" s="2" t="s">
        <v>10</v>
      </c>
      <c r="H1161" s="2" t="s">
        <v>241</v>
      </c>
      <c r="I1161" s="2" t="s">
        <v>242</v>
      </c>
      <c r="J1161" s="2">
        <v>102753</v>
      </c>
      <c r="K1161" s="2" t="s">
        <v>243</v>
      </c>
      <c r="L1161" s="2" t="s">
        <v>18</v>
      </c>
      <c r="M1161" t="str">
        <f>I1161 &amp; " " &amp; K1161</f>
        <v>Hinata Taguchi</v>
      </c>
      <c r="Q1161" t="str">
        <f t="shared" si="100"/>
        <v>102753htaguchi</v>
      </c>
    </row>
    <row r="1162" spans="1:17" hidden="1" x14ac:dyDescent="0.4">
      <c r="A1162">
        <v>1382</v>
      </c>
      <c r="B1162" s="2"/>
      <c r="C1162" s="4">
        <v>45908</v>
      </c>
      <c r="D1162" s="5">
        <v>0.66666666666666663</v>
      </c>
      <c r="E1162" s="5">
        <v>0.72916666666666663</v>
      </c>
      <c r="F1162" s="2" t="s">
        <v>9</v>
      </c>
      <c r="G1162" s="2" t="s">
        <v>10</v>
      </c>
      <c r="H1162" s="2" t="s">
        <v>222</v>
      </c>
      <c r="I1162" s="2" t="s">
        <v>213</v>
      </c>
      <c r="J1162" s="2">
        <v>104855</v>
      </c>
      <c r="K1162" s="2" t="s">
        <v>223</v>
      </c>
      <c r="L1162" s="2" t="s">
        <v>18</v>
      </c>
      <c r="M1162" t="str">
        <f>I1162 &amp; " " &amp; K1162</f>
        <v>Guillaume Vandenbroucque</v>
      </c>
      <c r="Q1162" t="str">
        <f t="shared" si="100"/>
        <v>104855gvandenbroucque</v>
      </c>
    </row>
    <row r="1163" spans="1:17" hidden="1" x14ac:dyDescent="0.4">
      <c r="A1163">
        <v>1384</v>
      </c>
      <c r="B1163" s="2"/>
      <c r="C1163" s="4">
        <v>45908</v>
      </c>
      <c r="D1163" s="5">
        <v>0.58333333333333337</v>
      </c>
      <c r="E1163" s="5">
        <v>0.64583333333333337</v>
      </c>
      <c r="F1163" s="2" t="s">
        <v>9</v>
      </c>
      <c r="G1163" s="2" t="s">
        <v>10</v>
      </c>
      <c r="H1163" s="2" t="s">
        <v>222</v>
      </c>
      <c r="I1163" s="2" t="s">
        <v>213</v>
      </c>
      <c r="J1163" s="2">
        <v>104551</v>
      </c>
      <c r="K1163" s="2" t="s">
        <v>223</v>
      </c>
      <c r="L1163" s="2" t="s">
        <v>18</v>
      </c>
      <c r="M1163" t="str">
        <f>I1163 &amp; " " &amp; K1163</f>
        <v>Guillaume Vandenbroucque</v>
      </c>
      <c r="Q1163" t="str">
        <f t="shared" si="100"/>
        <v>104551gvandenbroucque</v>
      </c>
    </row>
    <row r="1164" spans="1:17" hidden="1" x14ac:dyDescent="0.4">
      <c r="A1164">
        <v>1385</v>
      </c>
      <c r="B1164" s="2"/>
      <c r="C1164" s="4">
        <v>45908</v>
      </c>
      <c r="D1164" s="5">
        <v>0.47916666666666669</v>
      </c>
      <c r="E1164" s="5">
        <v>0.54166666666666663</v>
      </c>
      <c r="F1164" s="2" t="s">
        <v>9</v>
      </c>
      <c r="G1164" s="2" t="s">
        <v>10</v>
      </c>
      <c r="H1164" s="2" t="s">
        <v>222</v>
      </c>
      <c r="I1164" s="2" t="s">
        <v>213</v>
      </c>
      <c r="J1164" s="2">
        <v>104550</v>
      </c>
      <c r="K1164" s="2" t="s">
        <v>223</v>
      </c>
      <c r="L1164" s="2" t="s">
        <v>18</v>
      </c>
      <c r="M1164" t="str">
        <f>I1164 &amp; " " &amp; K1164</f>
        <v>Guillaume Vandenbroucque</v>
      </c>
      <c r="Q1164" t="str">
        <f t="shared" si="100"/>
        <v>104550gvandenbroucque</v>
      </c>
    </row>
    <row r="1165" spans="1:17" hidden="1" x14ac:dyDescent="0.4">
      <c r="A1165">
        <v>1386</v>
      </c>
      <c r="B1165" s="2"/>
      <c r="C1165" s="4">
        <v>45908</v>
      </c>
      <c r="D1165" s="5">
        <v>0.375</v>
      </c>
      <c r="E1165" s="5">
        <v>0.4375</v>
      </c>
      <c r="F1165" s="2" t="s">
        <v>9</v>
      </c>
      <c r="G1165" s="2" t="s">
        <v>10</v>
      </c>
      <c r="H1165" s="2" t="s">
        <v>222</v>
      </c>
      <c r="I1165" s="2" t="s">
        <v>213</v>
      </c>
      <c r="J1165" s="2">
        <v>102916</v>
      </c>
      <c r="K1165" s="2" t="s">
        <v>223</v>
      </c>
      <c r="L1165" s="2" t="s">
        <v>18</v>
      </c>
      <c r="M1165" t="str">
        <f>I1165 &amp; " " &amp; K1165</f>
        <v>Guillaume Vandenbroucque</v>
      </c>
      <c r="Q1165" t="str">
        <f t="shared" si="100"/>
        <v>102916gvandenbroucque</v>
      </c>
    </row>
    <row r="1166" spans="1:17" hidden="1" x14ac:dyDescent="0.4">
      <c r="A1166">
        <v>1387</v>
      </c>
      <c r="B1166" s="2"/>
      <c r="C1166" s="4">
        <v>45909</v>
      </c>
      <c r="D1166" s="5">
        <v>0.5</v>
      </c>
      <c r="E1166" s="5">
        <v>0.54166666666666663</v>
      </c>
      <c r="F1166" s="2" t="s">
        <v>9</v>
      </c>
      <c r="G1166" s="2" t="s">
        <v>10</v>
      </c>
      <c r="H1166" s="2" t="s">
        <v>604</v>
      </c>
      <c r="I1166" s="2" t="s">
        <v>605</v>
      </c>
      <c r="J1166" s="2">
        <v>102753</v>
      </c>
      <c r="K1166" s="2" t="s">
        <v>606</v>
      </c>
      <c r="L1166" s="2" t="s">
        <v>14</v>
      </c>
      <c r="M1166" t="str">
        <f>K1166 &amp; " " &amp; I1166</f>
        <v>Takasaki Yume</v>
      </c>
      <c r="Q1166" t="str">
        <f t="shared" si="100"/>
        <v>102753ytakasaki</v>
      </c>
    </row>
    <row r="1167" spans="1:17" hidden="1" x14ac:dyDescent="0.4">
      <c r="A1167">
        <v>1388</v>
      </c>
      <c r="B1167" s="2"/>
      <c r="C1167" s="4">
        <v>45909</v>
      </c>
      <c r="D1167" s="5">
        <v>0.5</v>
      </c>
      <c r="E1167" s="5">
        <v>0.54166666666666663</v>
      </c>
      <c r="F1167" s="2" t="s">
        <v>9</v>
      </c>
      <c r="G1167" s="2" t="s">
        <v>10</v>
      </c>
      <c r="H1167" s="2" t="s">
        <v>116</v>
      </c>
      <c r="I1167" s="2" t="s">
        <v>117</v>
      </c>
      <c r="J1167" s="2">
        <v>102753</v>
      </c>
      <c r="K1167" s="2" t="s">
        <v>118</v>
      </c>
      <c r="L1167" s="2" t="s">
        <v>18</v>
      </c>
      <c r="M1167" t="str">
        <f>I1167 &amp; " " &amp; K1167</f>
        <v>Clovis Tallet</v>
      </c>
      <c r="Q1167" t="str">
        <f t="shared" si="100"/>
        <v>102753ctallet1</v>
      </c>
    </row>
    <row r="1168" spans="1:17" hidden="1" x14ac:dyDescent="0.4">
      <c r="A1168">
        <v>1389</v>
      </c>
      <c r="B1168" s="2"/>
      <c r="C1168" s="4">
        <v>45908</v>
      </c>
      <c r="D1168" s="5">
        <v>0.66666666666666663</v>
      </c>
      <c r="E1168" s="5">
        <v>0.72916666666666663</v>
      </c>
      <c r="F1168" s="2" t="s">
        <v>9</v>
      </c>
      <c r="G1168" s="2" t="s">
        <v>10</v>
      </c>
      <c r="H1168" s="2" t="s">
        <v>343</v>
      </c>
      <c r="I1168" s="2" t="s">
        <v>318</v>
      </c>
      <c r="J1168" s="2">
        <v>104855</v>
      </c>
      <c r="K1168" s="2" t="s">
        <v>344</v>
      </c>
      <c r="L1168" s="2" t="s">
        <v>18</v>
      </c>
      <c r="M1168" t="str">
        <f>I1168 &amp; " " &amp; K1168</f>
        <v>Louise Vandenhole</v>
      </c>
      <c r="Q1168" t="str">
        <f t="shared" si="100"/>
        <v>104855lvandenhole</v>
      </c>
    </row>
    <row r="1169" spans="1:17" hidden="1" x14ac:dyDescent="0.4">
      <c r="A1169">
        <v>1391</v>
      </c>
      <c r="B1169" s="2"/>
      <c r="C1169" s="4">
        <v>45908</v>
      </c>
      <c r="D1169" s="5">
        <v>0.58333333333333337</v>
      </c>
      <c r="E1169" s="5">
        <v>0.64583333333333337</v>
      </c>
      <c r="F1169" s="2" t="s">
        <v>9</v>
      </c>
      <c r="G1169" s="2" t="s">
        <v>10</v>
      </c>
      <c r="H1169" s="2" t="s">
        <v>343</v>
      </c>
      <c r="I1169" s="2" t="s">
        <v>318</v>
      </c>
      <c r="J1169" s="2">
        <v>104551</v>
      </c>
      <c r="K1169" s="2" t="s">
        <v>344</v>
      </c>
      <c r="L1169" s="2" t="s">
        <v>18</v>
      </c>
      <c r="M1169" t="str">
        <f>I1169 &amp; " " &amp; K1169</f>
        <v>Louise Vandenhole</v>
      </c>
      <c r="Q1169" t="str">
        <f t="shared" si="100"/>
        <v>104551lvandenhole</v>
      </c>
    </row>
    <row r="1170" spans="1:17" hidden="1" x14ac:dyDescent="0.4">
      <c r="A1170">
        <v>1392</v>
      </c>
      <c r="B1170" s="2"/>
      <c r="C1170" s="4">
        <v>45908</v>
      </c>
      <c r="D1170" s="5">
        <v>0.47916666666666669</v>
      </c>
      <c r="E1170" s="5">
        <v>0.54166666666666663</v>
      </c>
      <c r="F1170" s="2" t="s">
        <v>9</v>
      </c>
      <c r="G1170" s="2" t="s">
        <v>10</v>
      </c>
      <c r="H1170" s="2" t="s">
        <v>343</v>
      </c>
      <c r="I1170" s="2" t="s">
        <v>318</v>
      </c>
      <c r="J1170" s="2">
        <v>104550</v>
      </c>
      <c r="K1170" s="2" t="s">
        <v>344</v>
      </c>
      <c r="L1170" s="2" t="s">
        <v>18</v>
      </c>
      <c r="M1170" t="str">
        <f t="shared" ref="M1170:M1176" si="103">K1170 &amp; " " &amp; I1170</f>
        <v>Vandenhole Louise</v>
      </c>
      <c r="Q1170" t="str">
        <f t="shared" si="100"/>
        <v>104550lvandenhole</v>
      </c>
    </row>
    <row r="1171" spans="1:17" hidden="1" x14ac:dyDescent="0.4">
      <c r="A1171">
        <v>1393</v>
      </c>
      <c r="B1171" s="2"/>
      <c r="C1171" s="4">
        <v>45908</v>
      </c>
      <c r="D1171" s="5">
        <v>0.375</v>
      </c>
      <c r="E1171" s="5">
        <v>0.4375</v>
      </c>
      <c r="F1171" s="2" t="s">
        <v>9</v>
      </c>
      <c r="G1171" s="2" t="s">
        <v>10</v>
      </c>
      <c r="H1171" s="2" t="s">
        <v>343</v>
      </c>
      <c r="I1171" s="2" t="s">
        <v>318</v>
      </c>
      <c r="J1171" s="2">
        <v>102916</v>
      </c>
      <c r="K1171" s="2" t="s">
        <v>344</v>
      </c>
      <c r="L1171" s="2" t="s">
        <v>18</v>
      </c>
      <c r="M1171" t="str">
        <f t="shared" si="103"/>
        <v>Vandenhole Louise</v>
      </c>
      <c r="Q1171" t="str">
        <f t="shared" si="100"/>
        <v>102916lvandenhole</v>
      </c>
    </row>
    <row r="1172" spans="1:17" hidden="1" x14ac:dyDescent="0.4">
      <c r="A1172">
        <v>1394</v>
      </c>
      <c r="B1172" s="2"/>
      <c r="C1172" s="4">
        <v>45909</v>
      </c>
      <c r="D1172" s="5">
        <v>0.5</v>
      </c>
      <c r="E1172" s="5">
        <v>0.54166666666666663</v>
      </c>
      <c r="F1172" s="2" t="s">
        <v>9</v>
      </c>
      <c r="G1172" s="2" t="s">
        <v>10</v>
      </c>
      <c r="H1172" s="2" t="s">
        <v>592</v>
      </c>
      <c r="I1172" s="2" t="s">
        <v>593</v>
      </c>
      <c r="J1172" s="2">
        <v>102753</v>
      </c>
      <c r="K1172" s="2" t="s">
        <v>594</v>
      </c>
      <c r="L1172" s="2" t="s">
        <v>14</v>
      </c>
      <c r="M1172" t="str">
        <f t="shared" si="103"/>
        <v>Te Chin William</v>
      </c>
      <c r="Q1172" t="str">
        <f t="shared" si="100"/>
        <v>102753wtechin</v>
      </c>
    </row>
    <row r="1173" spans="1:17" hidden="1" x14ac:dyDescent="0.4">
      <c r="A1173">
        <v>1395</v>
      </c>
      <c r="B1173" s="2"/>
      <c r="C1173" s="4">
        <v>45909</v>
      </c>
      <c r="D1173" s="5">
        <v>0.5</v>
      </c>
      <c r="E1173" s="5">
        <v>0.54166666666666663</v>
      </c>
      <c r="F1173" s="2" t="s">
        <v>9</v>
      </c>
      <c r="G1173" s="2" t="s">
        <v>10</v>
      </c>
      <c r="H1173" s="2" t="s">
        <v>250</v>
      </c>
      <c r="I1173" s="2" t="s">
        <v>251</v>
      </c>
      <c r="J1173" s="2">
        <v>102753</v>
      </c>
      <c r="K1173" s="2" t="s">
        <v>252</v>
      </c>
      <c r="L1173" s="2" t="s">
        <v>14</v>
      </c>
      <c r="M1173" t="str">
        <f t="shared" si="103"/>
        <v>Terekhanov Ivan</v>
      </c>
      <c r="Q1173" t="str">
        <f t="shared" si="100"/>
        <v>102753iterekhanov</v>
      </c>
    </row>
    <row r="1174" spans="1:17" hidden="1" x14ac:dyDescent="0.4">
      <c r="A1174">
        <v>1397</v>
      </c>
      <c r="B1174" s="2"/>
      <c r="C1174" s="4">
        <v>45908</v>
      </c>
      <c r="D1174" s="5">
        <v>0.58333333333333337</v>
      </c>
      <c r="E1174" s="5">
        <v>0.64583333333333337</v>
      </c>
      <c r="F1174" s="2" t="s">
        <v>9</v>
      </c>
      <c r="G1174" s="2" t="s">
        <v>10</v>
      </c>
      <c r="H1174" s="2" t="s">
        <v>244</v>
      </c>
      <c r="I1174" s="2" t="s">
        <v>245</v>
      </c>
      <c r="J1174" s="2">
        <v>104551</v>
      </c>
      <c r="K1174" s="2" t="s">
        <v>246</v>
      </c>
      <c r="L1174" s="2" t="s">
        <v>18</v>
      </c>
      <c r="M1174" t="str">
        <f t="shared" si="103"/>
        <v>Vieuxmaire Héloïse</v>
      </c>
      <c r="Q1174" t="str">
        <f t="shared" si="100"/>
        <v>104551hvieuxmaire</v>
      </c>
    </row>
    <row r="1175" spans="1:17" hidden="1" x14ac:dyDescent="0.4">
      <c r="A1175">
        <v>1398</v>
      </c>
      <c r="B1175" s="2"/>
      <c r="C1175" s="4">
        <v>45908</v>
      </c>
      <c r="D1175" s="5">
        <v>0.47916666666666669</v>
      </c>
      <c r="E1175" s="5">
        <v>0.54166666666666663</v>
      </c>
      <c r="F1175" s="2" t="s">
        <v>9</v>
      </c>
      <c r="G1175" s="2" t="s">
        <v>10</v>
      </c>
      <c r="H1175" s="2" t="s">
        <v>244</v>
      </c>
      <c r="I1175" s="2" t="s">
        <v>245</v>
      </c>
      <c r="J1175" s="2">
        <v>104550</v>
      </c>
      <c r="K1175" s="2" t="s">
        <v>246</v>
      </c>
      <c r="L1175" s="2" t="s">
        <v>18</v>
      </c>
      <c r="M1175" t="str">
        <f t="shared" si="103"/>
        <v>Vieuxmaire Héloïse</v>
      </c>
      <c r="Q1175" t="str">
        <f t="shared" si="100"/>
        <v>104550hvieuxmaire</v>
      </c>
    </row>
    <row r="1176" spans="1:17" hidden="1" x14ac:dyDescent="0.4">
      <c r="A1176">
        <v>1399</v>
      </c>
      <c r="B1176" s="2"/>
      <c r="C1176" s="4">
        <v>45908</v>
      </c>
      <c r="D1176" s="5">
        <v>0.375</v>
      </c>
      <c r="E1176" s="5">
        <v>0.4375</v>
      </c>
      <c r="F1176" s="2" t="s">
        <v>9</v>
      </c>
      <c r="G1176" s="2" t="s">
        <v>10</v>
      </c>
      <c r="H1176" s="2" t="s">
        <v>244</v>
      </c>
      <c r="I1176" s="2" t="s">
        <v>245</v>
      </c>
      <c r="J1176" s="2">
        <v>102916</v>
      </c>
      <c r="K1176" s="2" t="s">
        <v>246</v>
      </c>
      <c r="L1176" s="2" t="s">
        <v>18</v>
      </c>
      <c r="M1176" t="str">
        <f t="shared" si="103"/>
        <v>Vieuxmaire Héloïse</v>
      </c>
      <c r="Q1176" t="str">
        <f t="shared" si="100"/>
        <v>102916hvieuxmaire</v>
      </c>
    </row>
    <row r="1177" spans="1:17" hidden="1" x14ac:dyDescent="0.4">
      <c r="A1177">
        <v>1400</v>
      </c>
      <c r="B1177" s="2"/>
      <c r="C1177" s="4">
        <v>45909</v>
      </c>
      <c r="D1177" s="5">
        <v>0.5</v>
      </c>
      <c r="E1177" s="5">
        <v>0.54166666666666663</v>
      </c>
      <c r="F1177" s="2" t="s">
        <v>9</v>
      </c>
      <c r="G1177" s="2" t="s">
        <v>10</v>
      </c>
      <c r="H1177" s="2" t="s">
        <v>545</v>
      </c>
      <c r="I1177" s="2" t="s">
        <v>546</v>
      </c>
      <c r="J1177" s="2">
        <v>102753</v>
      </c>
      <c r="K1177" s="2" t="s">
        <v>547</v>
      </c>
      <c r="L1177" s="2" t="s">
        <v>18</v>
      </c>
      <c r="M1177" t="str">
        <f>I1177 &amp; " " &amp; K1177</f>
        <v>Stan Théodas</v>
      </c>
      <c r="Q1177" t="str">
        <f t="shared" si="100"/>
        <v>102753stheodas</v>
      </c>
    </row>
    <row r="1178" spans="1:17" hidden="1" x14ac:dyDescent="0.4">
      <c r="A1178">
        <v>1401</v>
      </c>
      <c r="B1178" s="2"/>
      <c r="C1178" s="4">
        <v>45909</v>
      </c>
      <c r="D1178" s="5">
        <v>0.5</v>
      </c>
      <c r="E1178" s="5">
        <v>0.54166666666666663</v>
      </c>
      <c r="F1178" s="2" t="s">
        <v>9</v>
      </c>
      <c r="G1178" s="2" t="s">
        <v>10</v>
      </c>
      <c r="H1178" s="2" t="s">
        <v>87</v>
      </c>
      <c r="I1178" s="2" t="s">
        <v>88</v>
      </c>
      <c r="J1178" s="2">
        <v>102753</v>
      </c>
      <c r="K1178" s="2" t="s">
        <v>89</v>
      </c>
      <c r="L1178" s="2" t="s">
        <v>18</v>
      </c>
      <c r="M1178" t="str">
        <f>I1178 &amp; " " &amp; K1178</f>
        <v>Alice Thevenin</v>
      </c>
      <c r="Q1178" t="str">
        <f t="shared" si="100"/>
        <v>102753athevenin</v>
      </c>
    </row>
    <row r="1179" spans="1:17" hidden="1" x14ac:dyDescent="0.4">
      <c r="A1179">
        <v>1402</v>
      </c>
      <c r="B1179" s="2"/>
      <c r="C1179" s="4">
        <v>45908</v>
      </c>
      <c r="D1179" s="5">
        <v>0.66666666666666663</v>
      </c>
      <c r="E1179" s="5">
        <v>0.72916666666666663</v>
      </c>
      <c r="F1179" s="2" t="s">
        <v>9</v>
      </c>
      <c r="G1179" s="2" t="s">
        <v>10</v>
      </c>
      <c r="H1179" s="2" t="s">
        <v>415</v>
      </c>
      <c r="I1179" s="2" t="s">
        <v>416</v>
      </c>
      <c r="J1179" s="2">
        <v>104855</v>
      </c>
      <c r="K1179" s="2" t="s">
        <v>417</v>
      </c>
      <c r="L1179" s="2" t="s">
        <v>14</v>
      </c>
      <c r="M1179" t="str">
        <f>K1179 &amp; " " &amp; I1179</f>
        <v>Vignier Mattéo</v>
      </c>
      <c r="Q1179" t="str">
        <f t="shared" si="100"/>
        <v>104855mvignier</v>
      </c>
    </row>
    <row r="1180" spans="1:17" hidden="1" x14ac:dyDescent="0.4">
      <c r="A1180">
        <v>1404</v>
      </c>
      <c r="B1180" s="2"/>
      <c r="C1180" s="4">
        <v>45908</v>
      </c>
      <c r="D1180" s="5">
        <v>0.58333333333333337</v>
      </c>
      <c r="E1180" s="5">
        <v>0.64583333333333337</v>
      </c>
      <c r="F1180" s="2" t="s">
        <v>9</v>
      </c>
      <c r="G1180" s="2" t="s">
        <v>10</v>
      </c>
      <c r="H1180" s="2" t="s">
        <v>415</v>
      </c>
      <c r="I1180" s="2" t="s">
        <v>416</v>
      </c>
      <c r="J1180" s="2">
        <v>104551</v>
      </c>
      <c r="K1180" s="2" t="s">
        <v>417</v>
      </c>
      <c r="L1180" s="2" t="s">
        <v>14</v>
      </c>
      <c r="M1180" t="str">
        <f>K1180 &amp; " " &amp; I1180</f>
        <v>Vignier Mattéo</v>
      </c>
      <c r="Q1180" t="str">
        <f t="shared" si="100"/>
        <v>104551mvignier</v>
      </c>
    </row>
    <row r="1181" spans="1:17" hidden="1" x14ac:dyDescent="0.4">
      <c r="A1181">
        <v>1405</v>
      </c>
      <c r="B1181" s="2"/>
      <c r="C1181" s="4">
        <v>45908</v>
      </c>
      <c r="D1181" s="5">
        <v>0.47916666666666669</v>
      </c>
      <c r="E1181" s="5">
        <v>0.54166666666666663</v>
      </c>
      <c r="F1181" s="2" t="s">
        <v>9</v>
      </c>
      <c r="G1181" s="2" t="s">
        <v>10</v>
      </c>
      <c r="H1181" s="2" t="s">
        <v>415</v>
      </c>
      <c r="I1181" s="2" t="s">
        <v>416</v>
      </c>
      <c r="J1181" s="2">
        <v>104550</v>
      </c>
      <c r="K1181" s="2" t="s">
        <v>417</v>
      </c>
      <c r="L1181" s="2" t="s">
        <v>14</v>
      </c>
      <c r="M1181" t="str">
        <f>K1181 &amp; " " &amp; I1181</f>
        <v>Vignier Mattéo</v>
      </c>
      <c r="Q1181" t="str">
        <f t="shared" si="100"/>
        <v>104550mvignier</v>
      </c>
    </row>
    <row r="1182" spans="1:17" hidden="1" x14ac:dyDescent="0.4">
      <c r="A1182">
        <v>1406</v>
      </c>
      <c r="B1182" s="2"/>
      <c r="C1182" s="4">
        <v>45908</v>
      </c>
      <c r="D1182" s="5">
        <v>0.375</v>
      </c>
      <c r="E1182" s="5">
        <v>0.4375</v>
      </c>
      <c r="F1182" s="2" t="s">
        <v>9</v>
      </c>
      <c r="G1182" s="2" t="s">
        <v>10</v>
      </c>
      <c r="H1182" s="2" t="s">
        <v>415</v>
      </c>
      <c r="I1182" s="2" t="s">
        <v>416</v>
      </c>
      <c r="J1182" s="2">
        <v>102916</v>
      </c>
      <c r="K1182" s="2" t="s">
        <v>417</v>
      </c>
      <c r="L1182" s="2" t="s">
        <v>14</v>
      </c>
      <c r="M1182" t="str">
        <f>K1182 &amp; " " &amp; I1182</f>
        <v>Vignier Mattéo</v>
      </c>
      <c r="Q1182" t="str">
        <f t="shared" si="100"/>
        <v>102916mvignier</v>
      </c>
    </row>
    <row r="1183" spans="1:17" hidden="1" x14ac:dyDescent="0.4">
      <c r="A1183">
        <v>1407</v>
      </c>
      <c r="B1183" s="2"/>
      <c r="C1183" s="4">
        <v>45909</v>
      </c>
      <c r="D1183" s="5">
        <v>0.5</v>
      </c>
      <c r="E1183" s="5">
        <v>0.54166666666666663</v>
      </c>
      <c r="F1183" s="2" t="s">
        <v>9</v>
      </c>
      <c r="G1183" s="2" t="s">
        <v>10</v>
      </c>
      <c r="H1183" s="2" t="s">
        <v>119</v>
      </c>
      <c r="I1183" s="2" t="s">
        <v>120</v>
      </c>
      <c r="J1183" s="2">
        <v>102753</v>
      </c>
      <c r="K1183" s="2" t="s">
        <v>121</v>
      </c>
      <c r="L1183" s="2" t="s">
        <v>18</v>
      </c>
      <c r="M1183" t="str">
        <f>I1183 &amp; " " &amp; K1183</f>
        <v>Célestin Tissus</v>
      </c>
      <c r="Q1183" t="str">
        <f t="shared" si="100"/>
        <v>102753ctissus</v>
      </c>
    </row>
    <row r="1184" spans="1:17" hidden="1" x14ac:dyDescent="0.4">
      <c r="A1184">
        <v>1408</v>
      </c>
      <c r="B1184" s="2"/>
      <c r="C1184" s="4">
        <v>45909</v>
      </c>
      <c r="D1184" s="5">
        <v>0.5</v>
      </c>
      <c r="E1184" s="5">
        <v>0.54166666666666663</v>
      </c>
      <c r="F1184" s="2" t="s">
        <v>9</v>
      </c>
      <c r="G1184" s="2" t="s">
        <v>10</v>
      </c>
      <c r="H1184" s="2" t="s">
        <v>90</v>
      </c>
      <c r="I1184" s="2" t="s">
        <v>91</v>
      </c>
      <c r="J1184" s="2">
        <v>102753</v>
      </c>
      <c r="K1184" s="2" t="s">
        <v>92</v>
      </c>
      <c r="L1184" s="2" t="s">
        <v>14</v>
      </c>
      <c r="M1184" t="str">
        <f t="shared" ref="M1184:M1189" si="104">K1184 &amp; " " &amp; I1184</f>
        <v>Torres Afonso</v>
      </c>
      <c r="Q1184" t="str">
        <f t="shared" si="100"/>
        <v>102753atorres</v>
      </c>
    </row>
    <row r="1185" spans="1:17" hidden="1" x14ac:dyDescent="0.4">
      <c r="A1185">
        <v>1409</v>
      </c>
      <c r="B1185" s="2"/>
      <c r="C1185" s="4">
        <v>45908</v>
      </c>
      <c r="D1185" s="5">
        <v>0.66666666666666663</v>
      </c>
      <c r="E1185" s="5">
        <v>0.72916666666666663</v>
      </c>
      <c r="F1185" s="2" t="s">
        <v>9</v>
      </c>
      <c r="G1185" s="2" t="s">
        <v>10</v>
      </c>
      <c r="H1185" s="2" t="s">
        <v>143</v>
      </c>
      <c r="I1185" s="2" t="s">
        <v>141</v>
      </c>
      <c r="J1185" s="2">
        <v>104855</v>
      </c>
      <c r="K1185" s="2" t="s">
        <v>144</v>
      </c>
      <c r="L1185" s="2" t="s">
        <v>18</v>
      </c>
      <c r="M1185" t="str">
        <f t="shared" si="104"/>
        <v>Wang David</v>
      </c>
      <c r="Q1185" t="str">
        <f t="shared" si="100"/>
        <v>104855dwang</v>
      </c>
    </row>
    <row r="1186" spans="1:17" hidden="1" x14ac:dyDescent="0.4">
      <c r="A1186">
        <v>1411</v>
      </c>
      <c r="B1186" s="2"/>
      <c r="C1186" s="4">
        <v>45908</v>
      </c>
      <c r="D1186" s="5">
        <v>0.58333333333333337</v>
      </c>
      <c r="E1186" s="5">
        <v>0.64583333333333337</v>
      </c>
      <c r="F1186" s="2" t="s">
        <v>9</v>
      </c>
      <c r="G1186" s="2" t="s">
        <v>10</v>
      </c>
      <c r="H1186" s="2" t="s">
        <v>143</v>
      </c>
      <c r="I1186" s="2" t="s">
        <v>141</v>
      </c>
      <c r="J1186" s="2">
        <v>104551</v>
      </c>
      <c r="K1186" s="2" t="s">
        <v>144</v>
      </c>
      <c r="L1186" s="2" t="s">
        <v>18</v>
      </c>
      <c r="M1186" t="str">
        <f t="shared" si="104"/>
        <v>Wang David</v>
      </c>
      <c r="Q1186" t="str">
        <f t="shared" ref="Q1186:Q1239" si="105">J1186&amp;H1186</f>
        <v>104551dwang</v>
      </c>
    </row>
    <row r="1187" spans="1:17" hidden="1" x14ac:dyDescent="0.4">
      <c r="A1187">
        <v>1412</v>
      </c>
      <c r="B1187" s="2"/>
      <c r="C1187" s="4">
        <v>45908</v>
      </c>
      <c r="D1187" s="5">
        <v>0.47916666666666669</v>
      </c>
      <c r="E1187" s="5">
        <v>0.54166666666666663</v>
      </c>
      <c r="F1187" s="2" t="s">
        <v>9</v>
      </c>
      <c r="G1187" s="2" t="s">
        <v>10</v>
      </c>
      <c r="H1187" s="2" t="s">
        <v>143</v>
      </c>
      <c r="I1187" s="2" t="s">
        <v>141</v>
      </c>
      <c r="J1187" s="2">
        <v>104550</v>
      </c>
      <c r="K1187" s="2" t="s">
        <v>144</v>
      </c>
      <c r="L1187" s="2" t="s">
        <v>18</v>
      </c>
      <c r="M1187" t="str">
        <f t="shared" si="104"/>
        <v>Wang David</v>
      </c>
      <c r="Q1187" t="str">
        <f t="shared" si="105"/>
        <v>104550dwang</v>
      </c>
    </row>
    <row r="1188" spans="1:17" hidden="1" x14ac:dyDescent="0.4">
      <c r="A1188">
        <v>1413</v>
      </c>
      <c r="B1188" s="2"/>
      <c r="C1188" s="4">
        <v>45908</v>
      </c>
      <c r="D1188" s="5">
        <v>0.375</v>
      </c>
      <c r="E1188" s="5">
        <v>0.4375</v>
      </c>
      <c r="F1188" s="2" t="s">
        <v>9</v>
      </c>
      <c r="G1188" s="2" t="s">
        <v>10</v>
      </c>
      <c r="H1188" s="2" t="s">
        <v>143</v>
      </c>
      <c r="I1188" s="2" t="s">
        <v>141</v>
      </c>
      <c r="J1188" s="2">
        <v>102916</v>
      </c>
      <c r="K1188" s="2" t="s">
        <v>144</v>
      </c>
      <c r="L1188" s="2" t="s">
        <v>18</v>
      </c>
      <c r="M1188" t="str">
        <f t="shared" si="104"/>
        <v>Wang David</v>
      </c>
      <c r="Q1188" t="str">
        <f t="shared" si="105"/>
        <v>102916dwang</v>
      </c>
    </row>
    <row r="1189" spans="1:17" hidden="1" x14ac:dyDescent="0.4">
      <c r="A1189">
        <v>1414</v>
      </c>
      <c r="B1189" s="2"/>
      <c r="C1189" s="4">
        <v>45909</v>
      </c>
      <c r="D1189" s="5">
        <v>0.5</v>
      </c>
      <c r="E1189" s="5">
        <v>0.54166666666666663</v>
      </c>
      <c r="F1189" s="2" t="s">
        <v>9</v>
      </c>
      <c r="G1189" s="2" t="s">
        <v>10</v>
      </c>
      <c r="H1189" s="2" t="s">
        <v>409</v>
      </c>
      <c r="I1189" s="2" t="s">
        <v>410</v>
      </c>
      <c r="J1189" s="2">
        <v>102753</v>
      </c>
      <c r="K1189" s="2" t="s">
        <v>411</v>
      </c>
      <c r="L1189" s="2" t="s">
        <v>14</v>
      </c>
      <c r="M1189" t="str">
        <f t="shared" si="104"/>
        <v>Ulrich Matéo</v>
      </c>
      <c r="Q1189" t="str">
        <f t="shared" si="105"/>
        <v>102753mulrich</v>
      </c>
    </row>
    <row r="1190" spans="1:17" hidden="1" x14ac:dyDescent="0.4">
      <c r="A1190">
        <v>1415</v>
      </c>
      <c r="B1190" s="2"/>
      <c r="C1190" s="4">
        <v>45909</v>
      </c>
      <c r="D1190" s="5">
        <v>0.5</v>
      </c>
      <c r="E1190" s="5">
        <v>0.54166666666666663</v>
      </c>
      <c r="F1190" s="2" t="s">
        <v>9</v>
      </c>
      <c r="G1190" s="2" t="s">
        <v>10</v>
      </c>
      <c r="H1190" s="2" t="s">
        <v>253</v>
      </c>
      <c r="I1190" s="2" t="s">
        <v>251</v>
      </c>
      <c r="J1190" s="2">
        <v>102753</v>
      </c>
      <c r="K1190" s="2" t="s">
        <v>254</v>
      </c>
      <c r="L1190" s="2" t="s">
        <v>18</v>
      </c>
      <c r="M1190" t="str">
        <f>I1190 &amp; " " &amp; K1190</f>
        <v>Ivan Valem</v>
      </c>
      <c r="Q1190" t="str">
        <f t="shared" si="105"/>
        <v>102753ivalem</v>
      </c>
    </row>
    <row r="1191" spans="1:17" hidden="1" x14ac:dyDescent="0.4">
      <c r="A1191">
        <v>1416</v>
      </c>
      <c r="B1191" s="2"/>
      <c r="C1191" s="4">
        <v>45908</v>
      </c>
      <c r="D1191" s="5">
        <v>0.66666666666666663</v>
      </c>
      <c r="E1191" s="5">
        <v>0.72916666666666663</v>
      </c>
      <c r="F1191" s="2" t="s">
        <v>9</v>
      </c>
      <c r="G1191" s="2" t="s">
        <v>10</v>
      </c>
      <c r="H1191" s="2" t="s">
        <v>224</v>
      </c>
      <c r="I1191" s="2" t="s">
        <v>225</v>
      </c>
      <c r="J1191" s="2">
        <v>104855</v>
      </c>
      <c r="K1191" s="2" t="s">
        <v>226</v>
      </c>
      <c r="L1191" s="2" t="s">
        <v>18</v>
      </c>
      <c r="M1191" t="str">
        <f>I1191 &amp; " " &amp; K1191</f>
        <v>Gwenaël Welcker</v>
      </c>
      <c r="Q1191" t="str">
        <f t="shared" si="105"/>
        <v>104855gwelcker</v>
      </c>
    </row>
    <row r="1192" spans="1:17" hidden="1" x14ac:dyDescent="0.4">
      <c r="A1192">
        <v>1418</v>
      </c>
      <c r="B1192" s="2"/>
      <c r="C1192" s="4">
        <v>45908</v>
      </c>
      <c r="D1192" s="5">
        <v>0.58333333333333337</v>
      </c>
      <c r="E1192" s="5">
        <v>0.64583333333333337</v>
      </c>
      <c r="F1192" s="2" t="s">
        <v>9</v>
      </c>
      <c r="G1192" s="2" t="s">
        <v>10</v>
      </c>
      <c r="H1192" s="2" t="s">
        <v>224</v>
      </c>
      <c r="I1192" s="2" t="s">
        <v>225</v>
      </c>
      <c r="J1192" s="2">
        <v>104551</v>
      </c>
      <c r="K1192" s="2" t="s">
        <v>226</v>
      </c>
      <c r="L1192" s="2" t="s">
        <v>18</v>
      </c>
      <c r="M1192" t="str">
        <f>I1192 &amp; " " &amp; K1192</f>
        <v>Gwenaël Welcker</v>
      </c>
      <c r="Q1192" t="str">
        <f t="shared" si="105"/>
        <v>104551gwelcker</v>
      </c>
    </row>
    <row r="1193" spans="1:17" hidden="1" x14ac:dyDescent="0.4">
      <c r="A1193">
        <v>1419</v>
      </c>
      <c r="B1193" s="2"/>
      <c r="C1193" s="4">
        <v>45908</v>
      </c>
      <c r="D1193" s="5">
        <v>0.47916666666666669</v>
      </c>
      <c r="E1193" s="5">
        <v>0.54166666666666663</v>
      </c>
      <c r="F1193" s="2" t="s">
        <v>9</v>
      </c>
      <c r="G1193" s="2" t="s">
        <v>10</v>
      </c>
      <c r="H1193" s="2" t="s">
        <v>224</v>
      </c>
      <c r="I1193" s="2" t="s">
        <v>225</v>
      </c>
      <c r="J1193" s="2">
        <v>104550</v>
      </c>
      <c r="K1193" s="2" t="s">
        <v>226</v>
      </c>
      <c r="L1193" s="2" t="s">
        <v>18</v>
      </c>
      <c r="M1193" t="str">
        <f>I1193 &amp; " " &amp; K1193</f>
        <v>Gwenaël Welcker</v>
      </c>
      <c r="Q1193" t="str">
        <f t="shared" si="105"/>
        <v>104550gwelcker</v>
      </c>
    </row>
    <row r="1194" spans="1:17" hidden="1" x14ac:dyDescent="0.4">
      <c r="A1194">
        <v>1420</v>
      </c>
      <c r="B1194" s="2"/>
      <c r="C1194" s="4">
        <v>45908</v>
      </c>
      <c r="D1194" s="5">
        <v>0.375</v>
      </c>
      <c r="E1194" s="5">
        <v>0.4375</v>
      </c>
      <c r="F1194" s="2" t="s">
        <v>9</v>
      </c>
      <c r="G1194" s="2" t="s">
        <v>10</v>
      </c>
      <c r="H1194" s="2" t="s">
        <v>224</v>
      </c>
      <c r="I1194" s="2" t="s">
        <v>225</v>
      </c>
      <c r="J1194" s="2">
        <v>102916</v>
      </c>
      <c r="K1194" s="2" t="s">
        <v>226</v>
      </c>
      <c r="L1194" s="2" t="s">
        <v>18</v>
      </c>
      <c r="M1194" t="str">
        <f>K1194 &amp; " " &amp; I1194</f>
        <v>Welcker Gwenaël</v>
      </c>
      <c r="Q1194" t="str">
        <f t="shared" si="105"/>
        <v>102916gwelcker</v>
      </c>
    </row>
    <row r="1195" spans="1:17" hidden="1" x14ac:dyDescent="0.4">
      <c r="A1195">
        <v>1421</v>
      </c>
      <c r="B1195" s="2"/>
      <c r="C1195" s="4">
        <v>45909</v>
      </c>
      <c r="D1195" s="5">
        <v>0.5</v>
      </c>
      <c r="E1195" s="5">
        <v>0.54166666666666663</v>
      </c>
      <c r="F1195" s="2" t="s">
        <v>9</v>
      </c>
      <c r="G1195" s="2" t="s">
        <v>10</v>
      </c>
      <c r="H1195" s="2" t="s">
        <v>412</v>
      </c>
      <c r="I1195" s="2" t="s">
        <v>413</v>
      </c>
      <c r="J1195" s="2">
        <v>102753</v>
      </c>
      <c r="K1195" s="2" t="s">
        <v>414</v>
      </c>
      <c r="L1195" s="2" t="s">
        <v>18</v>
      </c>
      <c r="M1195" t="str">
        <f>I1195 &amp; " " &amp; K1195</f>
        <v>Marius Valero</v>
      </c>
      <c r="Q1195" t="str">
        <f t="shared" si="105"/>
        <v>102753mvalero</v>
      </c>
    </row>
    <row r="1196" spans="1:17" hidden="1" x14ac:dyDescent="0.4">
      <c r="A1196">
        <v>1422</v>
      </c>
      <c r="B1196" s="2"/>
      <c r="C1196" s="4">
        <v>45909</v>
      </c>
      <c r="D1196" s="5">
        <v>0.5</v>
      </c>
      <c r="E1196" s="5">
        <v>0.54166666666666663</v>
      </c>
      <c r="F1196" s="2" t="s">
        <v>9</v>
      </c>
      <c r="G1196" s="2" t="s">
        <v>10</v>
      </c>
      <c r="H1196" s="2" t="s">
        <v>122</v>
      </c>
      <c r="I1196" s="2" t="s">
        <v>123</v>
      </c>
      <c r="J1196" s="2">
        <v>102753</v>
      </c>
      <c r="K1196" s="2" t="s">
        <v>124</v>
      </c>
      <c r="L1196" s="2" t="s">
        <v>14</v>
      </c>
      <c r="M1196" t="str">
        <f>K1196 &amp; " " &amp; I1196</f>
        <v>Valla Pesendorfer Camille</v>
      </c>
      <c r="Q1196" t="str">
        <f t="shared" si="105"/>
        <v>102753cvallapesendorfer</v>
      </c>
    </row>
    <row r="1197" spans="1:17" hidden="1" x14ac:dyDescent="0.4">
      <c r="A1197">
        <v>1423</v>
      </c>
      <c r="B1197" s="2"/>
      <c r="C1197" s="4">
        <v>45908</v>
      </c>
      <c r="D1197" s="5">
        <v>0.66666666666666663</v>
      </c>
      <c r="E1197" s="5">
        <v>0.72916666666666663</v>
      </c>
      <c r="F1197" s="2" t="s">
        <v>9</v>
      </c>
      <c r="G1197" s="2" t="s">
        <v>10</v>
      </c>
      <c r="H1197" s="2" t="s">
        <v>571</v>
      </c>
      <c r="I1197" s="2" t="s">
        <v>572</v>
      </c>
      <c r="J1197" s="2">
        <v>104855</v>
      </c>
      <c r="K1197" s="2" t="s">
        <v>573</v>
      </c>
      <c r="L1197" s="2" t="s">
        <v>18</v>
      </c>
      <c r="M1197" t="str">
        <f>I1197 &amp; " " &amp; K1197</f>
        <v>Tomas Wilson</v>
      </c>
      <c r="Q1197" t="str">
        <f t="shared" si="105"/>
        <v>104855twilson</v>
      </c>
    </row>
    <row r="1198" spans="1:17" hidden="1" x14ac:dyDescent="0.4">
      <c r="A1198">
        <v>1426</v>
      </c>
      <c r="B1198" s="2"/>
      <c r="C1198" s="4">
        <v>45908</v>
      </c>
      <c r="D1198" s="5">
        <v>0.58333333333333337</v>
      </c>
      <c r="E1198" s="5">
        <v>0.64583333333333337</v>
      </c>
      <c r="F1198" s="2" t="s">
        <v>9</v>
      </c>
      <c r="G1198" s="2" t="s">
        <v>10</v>
      </c>
      <c r="H1198" s="2" t="s">
        <v>571</v>
      </c>
      <c r="I1198" s="2" t="s">
        <v>572</v>
      </c>
      <c r="J1198" s="2">
        <v>104551</v>
      </c>
      <c r="K1198" s="2" t="s">
        <v>573</v>
      </c>
      <c r="L1198" s="2" t="s">
        <v>18</v>
      </c>
      <c r="M1198" t="str">
        <f t="shared" ref="M1198:M1203" si="106">I1198 &amp; " " &amp; K1198</f>
        <v>Tomas Wilson</v>
      </c>
      <c r="Q1198" t="str">
        <f t="shared" si="105"/>
        <v>104551twilson</v>
      </c>
    </row>
    <row r="1199" spans="1:17" hidden="1" x14ac:dyDescent="0.4">
      <c r="A1199">
        <v>1427</v>
      </c>
      <c r="B1199" s="2"/>
      <c r="C1199" s="4">
        <v>45908</v>
      </c>
      <c r="D1199" s="5">
        <v>0.47916666666666669</v>
      </c>
      <c r="E1199" s="5">
        <v>0.54166666666666663</v>
      </c>
      <c r="F1199" s="2" t="s">
        <v>9</v>
      </c>
      <c r="G1199" s="2" t="s">
        <v>10</v>
      </c>
      <c r="H1199" s="2" t="s">
        <v>571</v>
      </c>
      <c r="I1199" s="2" t="s">
        <v>572</v>
      </c>
      <c r="J1199" s="2">
        <v>104550</v>
      </c>
      <c r="K1199" s="2" t="s">
        <v>573</v>
      </c>
      <c r="L1199" s="2" t="s">
        <v>18</v>
      </c>
      <c r="M1199" t="str">
        <f t="shared" si="106"/>
        <v>Tomas Wilson</v>
      </c>
      <c r="Q1199" t="str">
        <f t="shared" si="105"/>
        <v>104550twilson</v>
      </c>
    </row>
    <row r="1200" spans="1:17" hidden="1" x14ac:dyDescent="0.4">
      <c r="A1200">
        <v>1428</v>
      </c>
      <c r="B1200" s="2"/>
      <c r="C1200" s="4">
        <v>45908</v>
      </c>
      <c r="D1200" s="5">
        <v>0.375</v>
      </c>
      <c r="E1200" s="5">
        <v>0.4375</v>
      </c>
      <c r="F1200" s="2" t="s">
        <v>9</v>
      </c>
      <c r="G1200" s="2" t="s">
        <v>10</v>
      </c>
      <c r="H1200" s="2" t="s">
        <v>571</v>
      </c>
      <c r="I1200" s="2" t="s">
        <v>572</v>
      </c>
      <c r="J1200" s="2">
        <v>102916</v>
      </c>
      <c r="K1200" s="2" t="s">
        <v>573</v>
      </c>
      <c r="L1200" s="2" t="s">
        <v>18</v>
      </c>
      <c r="M1200" t="str">
        <f t="shared" si="106"/>
        <v>Tomas Wilson</v>
      </c>
      <c r="Q1200" t="str">
        <f t="shared" si="105"/>
        <v>102916twilson</v>
      </c>
    </row>
    <row r="1201" spans="1:17" hidden="1" x14ac:dyDescent="0.4">
      <c r="A1201">
        <v>1429</v>
      </c>
      <c r="B1201" s="2"/>
      <c r="C1201" s="4">
        <v>45909</v>
      </c>
      <c r="D1201" s="5">
        <v>0.5</v>
      </c>
      <c r="E1201" s="5">
        <v>0.54166666666666663</v>
      </c>
      <c r="F1201" s="2" t="s">
        <v>9</v>
      </c>
      <c r="G1201" s="2" t="s">
        <v>10</v>
      </c>
      <c r="H1201" s="2" t="s">
        <v>222</v>
      </c>
      <c r="I1201" s="2" t="s">
        <v>213</v>
      </c>
      <c r="J1201" s="2">
        <v>102753</v>
      </c>
      <c r="K1201" s="2" t="s">
        <v>223</v>
      </c>
      <c r="L1201" s="2" t="s">
        <v>18</v>
      </c>
      <c r="M1201" t="str">
        <f t="shared" si="106"/>
        <v>Guillaume Vandenbroucque</v>
      </c>
      <c r="Q1201" t="str">
        <f t="shared" si="105"/>
        <v>102753gvandenbroucque</v>
      </c>
    </row>
    <row r="1202" spans="1:17" hidden="1" x14ac:dyDescent="0.4">
      <c r="A1202">
        <v>1430</v>
      </c>
      <c r="B1202" s="2"/>
      <c r="C1202" s="4">
        <v>45909</v>
      </c>
      <c r="D1202" s="5">
        <v>0.5</v>
      </c>
      <c r="E1202" s="5">
        <v>0.54166666666666663</v>
      </c>
      <c r="F1202" s="2" t="s">
        <v>9</v>
      </c>
      <c r="G1202" s="2" t="s">
        <v>10</v>
      </c>
      <c r="H1202" s="2" t="s">
        <v>343</v>
      </c>
      <c r="I1202" s="2" t="s">
        <v>318</v>
      </c>
      <c r="J1202" s="2">
        <v>102753</v>
      </c>
      <c r="K1202" s="2" t="s">
        <v>344</v>
      </c>
      <c r="L1202" s="2" t="s">
        <v>18</v>
      </c>
      <c r="M1202" t="str">
        <f t="shared" si="106"/>
        <v>Louise Vandenhole</v>
      </c>
      <c r="Q1202" t="str">
        <f t="shared" si="105"/>
        <v>102753lvandenhole</v>
      </c>
    </row>
    <row r="1203" spans="1:17" hidden="1" x14ac:dyDescent="0.4">
      <c r="A1203">
        <v>1431</v>
      </c>
      <c r="B1203" s="2"/>
      <c r="C1203" s="4">
        <v>45908</v>
      </c>
      <c r="D1203" s="5">
        <v>0.66666666666666663</v>
      </c>
      <c r="E1203" s="5">
        <v>0.72916666666666663</v>
      </c>
      <c r="F1203" s="2" t="s">
        <v>9</v>
      </c>
      <c r="G1203" s="2" t="s">
        <v>10</v>
      </c>
      <c r="H1203" s="2" t="s">
        <v>348</v>
      </c>
      <c r="I1203" s="2" t="s">
        <v>349</v>
      </c>
      <c r="J1203" s="2">
        <v>104855</v>
      </c>
      <c r="K1203" s="2" t="s">
        <v>350</v>
      </c>
      <c r="L1203" s="2" t="s">
        <v>18</v>
      </c>
      <c r="M1203" t="str">
        <f t="shared" si="106"/>
        <v>Lyuwa Xiao</v>
      </c>
      <c r="Q1203" t="str">
        <f t="shared" si="105"/>
        <v>104855lxiao</v>
      </c>
    </row>
    <row r="1204" spans="1:17" hidden="1" x14ac:dyDescent="0.4">
      <c r="A1204">
        <v>1433</v>
      </c>
      <c r="B1204" s="2"/>
      <c r="C1204" s="4">
        <v>45908</v>
      </c>
      <c r="D1204" s="5">
        <v>0.58333333333333337</v>
      </c>
      <c r="E1204" s="5">
        <v>0.64583333333333337</v>
      </c>
      <c r="F1204" s="2" t="s">
        <v>9</v>
      </c>
      <c r="G1204" s="2" t="s">
        <v>10</v>
      </c>
      <c r="H1204" s="2" t="s">
        <v>348</v>
      </c>
      <c r="I1204" s="2" t="s">
        <v>349</v>
      </c>
      <c r="J1204" s="2">
        <v>104551</v>
      </c>
      <c r="K1204" s="2" t="s">
        <v>350</v>
      </c>
      <c r="L1204" s="2" t="s">
        <v>18</v>
      </c>
      <c r="M1204" t="str">
        <f>I1204 &amp; " " &amp; K1204</f>
        <v>Lyuwa Xiao</v>
      </c>
      <c r="Q1204" t="str">
        <f t="shared" si="105"/>
        <v>104551lxiao</v>
      </c>
    </row>
    <row r="1205" spans="1:17" hidden="1" x14ac:dyDescent="0.4">
      <c r="A1205">
        <v>1434</v>
      </c>
      <c r="B1205" s="2"/>
      <c r="C1205" s="4">
        <v>45908</v>
      </c>
      <c r="D1205" s="5">
        <v>0.47916666666666669</v>
      </c>
      <c r="E1205" s="5">
        <v>0.54166666666666663</v>
      </c>
      <c r="F1205" s="2" t="s">
        <v>9</v>
      </c>
      <c r="G1205" s="2" t="s">
        <v>10</v>
      </c>
      <c r="H1205" s="2" t="s">
        <v>348</v>
      </c>
      <c r="I1205" s="2" t="s">
        <v>349</v>
      </c>
      <c r="J1205" s="2">
        <v>104550</v>
      </c>
      <c r="K1205" s="2" t="s">
        <v>350</v>
      </c>
      <c r="L1205" s="2" t="s">
        <v>18</v>
      </c>
      <c r="M1205" t="str">
        <f>I1205 &amp; " " &amp; K1205</f>
        <v>Lyuwa Xiao</v>
      </c>
      <c r="Q1205" t="str">
        <f t="shared" si="105"/>
        <v>104550lxiao</v>
      </c>
    </row>
    <row r="1206" spans="1:17" hidden="1" x14ac:dyDescent="0.4">
      <c r="A1206">
        <v>1435</v>
      </c>
      <c r="B1206" s="2"/>
      <c r="C1206" s="4">
        <v>45908</v>
      </c>
      <c r="D1206" s="5">
        <v>0.375</v>
      </c>
      <c r="E1206" s="5">
        <v>0.4375</v>
      </c>
      <c r="F1206" s="2" t="s">
        <v>9</v>
      </c>
      <c r="G1206" s="2" t="s">
        <v>10</v>
      </c>
      <c r="H1206" s="2" t="s">
        <v>348</v>
      </c>
      <c r="I1206" s="2" t="s">
        <v>349</v>
      </c>
      <c r="J1206" s="2">
        <v>102916</v>
      </c>
      <c r="K1206" s="2" t="s">
        <v>350</v>
      </c>
      <c r="L1206" s="2" t="s">
        <v>18</v>
      </c>
      <c r="M1206" t="str">
        <f>I1206 &amp; " " &amp; K1206</f>
        <v>Lyuwa Xiao</v>
      </c>
      <c r="Q1206" t="str">
        <f t="shared" si="105"/>
        <v>102916lxiao</v>
      </c>
    </row>
    <row r="1207" spans="1:17" hidden="1" x14ac:dyDescent="0.4">
      <c r="A1207">
        <v>1436</v>
      </c>
      <c r="B1207" s="2"/>
      <c r="C1207" s="4">
        <v>45909</v>
      </c>
      <c r="D1207" s="5">
        <v>0.5</v>
      </c>
      <c r="E1207" s="5">
        <v>0.54166666666666663</v>
      </c>
      <c r="F1207" s="2" t="s">
        <v>9</v>
      </c>
      <c r="G1207" s="2" t="s">
        <v>10</v>
      </c>
      <c r="H1207" s="2" t="s">
        <v>244</v>
      </c>
      <c r="I1207" s="2" t="s">
        <v>245</v>
      </c>
      <c r="J1207" s="2">
        <v>102753</v>
      </c>
      <c r="K1207" s="2" t="s">
        <v>246</v>
      </c>
      <c r="L1207" s="2" t="s">
        <v>18</v>
      </c>
      <c r="M1207" t="str">
        <f>K1207 &amp; " " &amp; I1207</f>
        <v>Vieuxmaire Héloïse</v>
      </c>
      <c r="Q1207" t="str">
        <f t="shared" si="105"/>
        <v>102753hvieuxmaire</v>
      </c>
    </row>
    <row r="1208" spans="1:17" hidden="1" x14ac:dyDescent="0.4">
      <c r="A1208">
        <v>1437</v>
      </c>
      <c r="B1208" s="2"/>
      <c r="C1208" s="4">
        <v>45909</v>
      </c>
      <c r="D1208" s="5">
        <v>0.5</v>
      </c>
      <c r="E1208" s="5">
        <v>0.54166666666666663</v>
      </c>
      <c r="F1208" s="2" t="s">
        <v>9</v>
      </c>
      <c r="G1208" s="2" t="s">
        <v>10</v>
      </c>
      <c r="H1208" s="2" t="s">
        <v>415</v>
      </c>
      <c r="I1208" s="2" t="s">
        <v>416</v>
      </c>
      <c r="J1208" s="2">
        <v>102753</v>
      </c>
      <c r="K1208" s="2" t="s">
        <v>417</v>
      </c>
      <c r="L1208" s="2" t="s">
        <v>14</v>
      </c>
      <c r="M1208" t="str">
        <f>K1208 &amp; " " &amp; I1208</f>
        <v>Vignier Mattéo</v>
      </c>
      <c r="Q1208" t="str">
        <f t="shared" si="105"/>
        <v>102753mvignier</v>
      </c>
    </row>
    <row r="1209" spans="1:17" hidden="1" x14ac:dyDescent="0.4">
      <c r="A1209">
        <v>1438</v>
      </c>
      <c r="B1209" s="2"/>
      <c r="C1209" s="4">
        <v>45908</v>
      </c>
      <c r="D1209" s="5">
        <v>0.66666666666666663</v>
      </c>
      <c r="E1209" s="5">
        <v>0.72916666666666663</v>
      </c>
      <c r="F1209" s="2" t="s">
        <v>9</v>
      </c>
      <c r="G1209" s="2" t="s">
        <v>10</v>
      </c>
      <c r="H1209" s="2" t="s">
        <v>548</v>
      </c>
      <c r="I1209" s="2" t="s">
        <v>549</v>
      </c>
      <c r="J1209" s="2">
        <v>104855</v>
      </c>
      <c r="K1209" s="2" t="s">
        <v>550</v>
      </c>
      <c r="L1209" s="2" t="s">
        <v>18</v>
      </c>
      <c r="M1209" t="str">
        <f>I1209 &amp; " " &amp; K1209</f>
        <v>Sesshu Yagi</v>
      </c>
      <c r="Q1209" t="str">
        <f t="shared" si="105"/>
        <v>104855syagi</v>
      </c>
    </row>
    <row r="1210" spans="1:17" hidden="1" x14ac:dyDescent="0.4">
      <c r="A1210">
        <v>1440</v>
      </c>
      <c r="B1210" s="2"/>
      <c r="C1210" s="4">
        <v>45908</v>
      </c>
      <c r="D1210" s="5">
        <v>0.58333333333333337</v>
      </c>
      <c r="E1210" s="5">
        <v>0.64583333333333337</v>
      </c>
      <c r="F1210" s="2" t="s">
        <v>9</v>
      </c>
      <c r="G1210" s="2" t="s">
        <v>10</v>
      </c>
      <c r="H1210" s="2" t="s">
        <v>548</v>
      </c>
      <c r="I1210" s="2" t="s">
        <v>549</v>
      </c>
      <c r="J1210" s="2">
        <v>104551</v>
      </c>
      <c r="K1210" s="2" t="s">
        <v>550</v>
      </c>
      <c r="L1210" s="2" t="s">
        <v>18</v>
      </c>
      <c r="M1210" t="str">
        <f t="shared" ref="M1210:M1215" si="107">I1210 &amp; " " &amp; K1210</f>
        <v>Sesshu Yagi</v>
      </c>
      <c r="Q1210" t="str">
        <f t="shared" si="105"/>
        <v>104551syagi</v>
      </c>
    </row>
    <row r="1211" spans="1:17" hidden="1" x14ac:dyDescent="0.4">
      <c r="A1211">
        <v>1441</v>
      </c>
      <c r="B1211" s="2"/>
      <c r="C1211" s="4">
        <v>45908</v>
      </c>
      <c r="D1211" s="5">
        <v>0.47916666666666669</v>
      </c>
      <c r="E1211" s="5">
        <v>0.54166666666666663</v>
      </c>
      <c r="F1211" s="2" t="s">
        <v>9</v>
      </c>
      <c r="G1211" s="2" t="s">
        <v>10</v>
      </c>
      <c r="H1211" s="2" t="s">
        <v>548</v>
      </c>
      <c r="I1211" s="2" t="s">
        <v>549</v>
      </c>
      <c r="J1211" s="2">
        <v>104550</v>
      </c>
      <c r="K1211" s="2" t="s">
        <v>550</v>
      </c>
      <c r="L1211" s="2" t="s">
        <v>18</v>
      </c>
      <c r="M1211" t="str">
        <f t="shared" si="107"/>
        <v>Sesshu Yagi</v>
      </c>
      <c r="Q1211" t="str">
        <f t="shared" si="105"/>
        <v>104550syagi</v>
      </c>
    </row>
    <row r="1212" spans="1:17" hidden="1" x14ac:dyDescent="0.4">
      <c r="A1212">
        <v>1442</v>
      </c>
      <c r="B1212" s="2"/>
      <c r="C1212" s="4">
        <v>45908</v>
      </c>
      <c r="D1212" s="5">
        <v>0.375</v>
      </c>
      <c r="E1212" s="5">
        <v>0.4375</v>
      </c>
      <c r="F1212" s="2" t="s">
        <v>9</v>
      </c>
      <c r="G1212" s="2" t="s">
        <v>10</v>
      </c>
      <c r="H1212" s="2" t="s">
        <v>548</v>
      </c>
      <c r="I1212" s="2" t="s">
        <v>549</v>
      </c>
      <c r="J1212" s="2">
        <v>102916</v>
      </c>
      <c r="K1212" s="2" t="s">
        <v>550</v>
      </c>
      <c r="L1212" s="2" t="s">
        <v>18</v>
      </c>
      <c r="M1212" t="str">
        <f t="shared" si="107"/>
        <v>Sesshu Yagi</v>
      </c>
      <c r="Q1212" t="str">
        <f t="shared" si="105"/>
        <v>102916syagi</v>
      </c>
    </row>
    <row r="1213" spans="1:17" hidden="1" x14ac:dyDescent="0.4">
      <c r="A1213">
        <v>1443</v>
      </c>
      <c r="B1213" s="2"/>
      <c r="C1213" s="4">
        <v>45909</v>
      </c>
      <c r="D1213" s="5">
        <v>0.5</v>
      </c>
      <c r="E1213" s="5">
        <v>0.54166666666666663</v>
      </c>
      <c r="F1213" s="2" t="s">
        <v>9</v>
      </c>
      <c r="G1213" s="2" t="s">
        <v>10</v>
      </c>
      <c r="H1213" s="2" t="s">
        <v>143</v>
      </c>
      <c r="I1213" s="2" t="s">
        <v>141</v>
      </c>
      <c r="J1213" s="2">
        <v>102753</v>
      </c>
      <c r="K1213" s="2" t="s">
        <v>144</v>
      </c>
      <c r="L1213" s="2" t="s">
        <v>18</v>
      </c>
      <c r="M1213" t="str">
        <f t="shared" si="107"/>
        <v>David Wang</v>
      </c>
      <c r="Q1213" t="str">
        <f t="shared" si="105"/>
        <v>102753dwang</v>
      </c>
    </row>
    <row r="1214" spans="1:17" hidden="1" x14ac:dyDescent="0.4">
      <c r="A1214">
        <v>1444</v>
      </c>
      <c r="B1214" s="2"/>
      <c r="C1214" s="4">
        <v>45909</v>
      </c>
      <c r="D1214" s="5">
        <v>0.5</v>
      </c>
      <c r="E1214" s="5">
        <v>0.54166666666666663</v>
      </c>
      <c r="F1214" s="2" t="s">
        <v>9</v>
      </c>
      <c r="G1214" s="2" t="s">
        <v>10</v>
      </c>
      <c r="H1214" s="2" t="s">
        <v>224</v>
      </c>
      <c r="I1214" s="2" t="s">
        <v>225</v>
      </c>
      <c r="J1214" s="2">
        <v>102753</v>
      </c>
      <c r="K1214" s="2" t="s">
        <v>226</v>
      </c>
      <c r="L1214" s="2" t="s">
        <v>18</v>
      </c>
      <c r="M1214" t="str">
        <f t="shared" si="107"/>
        <v>Gwenaël Welcker</v>
      </c>
      <c r="Q1214" t="str">
        <f t="shared" si="105"/>
        <v>102753gwelcker</v>
      </c>
    </row>
    <row r="1215" spans="1:17" hidden="1" x14ac:dyDescent="0.4">
      <c r="A1215">
        <v>1445</v>
      </c>
      <c r="B1215" s="2"/>
      <c r="C1215" s="4">
        <v>45908</v>
      </c>
      <c r="D1215" s="5">
        <v>0.66666666666666663</v>
      </c>
      <c r="E1215" s="5">
        <v>0.72916666666666663</v>
      </c>
      <c r="F1215" s="2" t="s">
        <v>9</v>
      </c>
      <c r="G1215" s="2" t="s">
        <v>10</v>
      </c>
      <c r="H1215" s="2" t="s">
        <v>247</v>
      </c>
      <c r="I1215" s="2" t="s">
        <v>248</v>
      </c>
      <c r="J1215" s="2">
        <v>104855</v>
      </c>
      <c r="K1215" s="2" t="s">
        <v>249</v>
      </c>
      <c r="L1215" s="2" t="s">
        <v>18</v>
      </c>
      <c r="M1215" t="str">
        <f t="shared" si="107"/>
        <v>Haoting Ye</v>
      </c>
      <c r="Q1215" t="str">
        <f t="shared" si="105"/>
        <v>104855hye</v>
      </c>
    </row>
    <row r="1216" spans="1:17" hidden="1" x14ac:dyDescent="0.4">
      <c r="A1216">
        <v>1447</v>
      </c>
      <c r="B1216" s="2"/>
      <c r="C1216" s="4">
        <v>45908</v>
      </c>
      <c r="D1216" s="5">
        <v>0.58333333333333337</v>
      </c>
      <c r="E1216" s="5">
        <v>0.64583333333333337</v>
      </c>
      <c r="F1216" s="2" t="s">
        <v>9</v>
      </c>
      <c r="G1216" s="2" t="s">
        <v>10</v>
      </c>
      <c r="H1216" s="2" t="s">
        <v>247</v>
      </c>
      <c r="I1216" s="2" t="s">
        <v>248</v>
      </c>
      <c r="J1216" s="2">
        <v>104551</v>
      </c>
      <c r="K1216" s="2" t="s">
        <v>249</v>
      </c>
      <c r="L1216" s="2" t="s">
        <v>18</v>
      </c>
      <c r="M1216" t="str">
        <f t="shared" ref="M1216:M1221" si="108">I1216 &amp; " " &amp; K1216</f>
        <v>Haoting Ye</v>
      </c>
      <c r="Q1216" t="str">
        <f t="shared" si="105"/>
        <v>104551hye</v>
      </c>
    </row>
    <row r="1217" spans="1:17" hidden="1" x14ac:dyDescent="0.4">
      <c r="A1217">
        <v>1448</v>
      </c>
      <c r="B1217" s="2"/>
      <c r="C1217" s="4">
        <v>45908</v>
      </c>
      <c r="D1217" s="5">
        <v>0.47916666666666669</v>
      </c>
      <c r="E1217" s="5">
        <v>0.54166666666666663</v>
      </c>
      <c r="F1217" s="2" t="s">
        <v>9</v>
      </c>
      <c r="G1217" s="2" t="s">
        <v>10</v>
      </c>
      <c r="H1217" s="2" t="s">
        <v>247</v>
      </c>
      <c r="I1217" s="2" t="s">
        <v>248</v>
      </c>
      <c r="J1217" s="2">
        <v>104550</v>
      </c>
      <c r="K1217" s="2" t="s">
        <v>249</v>
      </c>
      <c r="L1217" s="2" t="s">
        <v>18</v>
      </c>
      <c r="M1217" t="str">
        <f t="shared" si="108"/>
        <v>Haoting Ye</v>
      </c>
      <c r="Q1217" t="str">
        <f t="shared" si="105"/>
        <v>104550hye</v>
      </c>
    </row>
    <row r="1218" spans="1:17" hidden="1" x14ac:dyDescent="0.4">
      <c r="A1218">
        <v>1449</v>
      </c>
      <c r="B1218" s="2"/>
      <c r="C1218" s="4">
        <v>45908</v>
      </c>
      <c r="D1218" s="5">
        <v>0.375</v>
      </c>
      <c r="E1218" s="5">
        <v>0.4375</v>
      </c>
      <c r="F1218" s="2" t="s">
        <v>9</v>
      </c>
      <c r="G1218" s="2" t="s">
        <v>10</v>
      </c>
      <c r="H1218" s="2" t="s">
        <v>247</v>
      </c>
      <c r="I1218" s="2" t="s">
        <v>248</v>
      </c>
      <c r="J1218" s="2">
        <v>102916</v>
      </c>
      <c r="K1218" s="2" t="s">
        <v>249</v>
      </c>
      <c r="L1218" s="2" t="s">
        <v>18</v>
      </c>
      <c r="M1218" t="str">
        <f t="shared" si="108"/>
        <v>Haoting Ye</v>
      </c>
      <c r="Q1218" t="str">
        <f t="shared" si="105"/>
        <v>102916hye</v>
      </c>
    </row>
    <row r="1219" spans="1:17" hidden="1" x14ac:dyDescent="0.4">
      <c r="A1219">
        <v>1450</v>
      </c>
      <c r="B1219" s="2"/>
      <c r="C1219" s="4">
        <v>45909</v>
      </c>
      <c r="D1219" s="5">
        <v>0.5</v>
      </c>
      <c r="E1219" s="5">
        <v>0.54166666666666663</v>
      </c>
      <c r="F1219" s="2" t="s">
        <v>9</v>
      </c>
      <c r="G1219" s="2" t="s">
        <v>10</v>
      </c>
      <c r="H1219" s="2" t="s">
        <v>571</v>
      </c>
      <c r="I1219" s="2" t="s">
        <v>572</v>
      </c>
      <c r="J1219" s="2">
        <v>102753</v>
      </c>
      <c r="K1219" s="2" t="s">
        <v>573</v>
      </c>
      <c r="L1219" s="2" t="s">
        <v>18</v>
      </c>
      <c r="M1219" t="str">
        <f t="shared" si="108"/>
        <v>Tomas Wilson</v>
      </c>
      <c r="Q1219" t="str">
        <f t="shared" si="105"/>
        <v>102753twilson</v>
      </c>
    </row>
    <row r="1220" spans="1:17" hidden="1" x14ac:dyDescent="0.4">
      <c r="A1220">
        <v>1451</v>
      </c>
      <c r="B1220" s="2"/>
      <c r="C1220" s="4">
        <v>45909</v>
      </c>
      <c r="D1220" s="5">
        <v>0.5</v>
      </c>
      <c r="E1220" s="5">
        <v>0.54166666666666663</v>
      </c>
      <c r="F1220" s="2" t="s">
        <v>9</v>
      </c>
      <c r="G1220" s="2" t="s">
        <v>10</v>
      </c>
      <c r="H1220" s="2" t="s">
        <v>348</v>
      </c>
      <c r="I1220" s="2" t="s">
        <v>349</v>
      </c>
      <c r="J1220" s="2">
        <v>102753</v>
      </c>
      <c r="K1220" s="2" t="s">
        <v>350</v>
      </c>
      <c r="L1220" s="2" t="s">
        <v>18</v>
      </c>
      <c r="M1220" t="str">
        <f t="shared" si="108"/>
        <v>Lyuwa Xiao</v>
      </c>
      <c r="Q1220" t="str">
        <f t="shared" si="105"/>
        <v>102753lxiao</v>
      </c>
    </row>
    <row r="1221" spans="1:17" hidden="1" x14ac:dyDescent="0.4">
      <c r="A1221">
        <v>1452</v>
      </c>
      <c r="B1221" s="2"/>
      <c r="C1221" s="4">
        <v>45908</v>
      </c>
      <c r="D1221" s="5">
        <v>0.66666666666666663</v>
      </c>
      <c r="E1221" s="5">
        <v>0.72916666666666663</v>
      </c>
      <c r="F1221" s="2" t="s">
        <v>9</v>
      </c>
      <c r="G1221" s="2" t="s">
        <v>10</v>
      </c>
      <c r="H1221" s="2" t="s">
        <v>551</v>
      </c>
      <c r="I1221" s="2" t="s">
        <v>552</v>
      </c>
      <c r="J1221" s="2">
        <v>104855</v>
      </c>
      <c r="K1221" s="2" t="s">
        <v>553</v>
      </c>
      <c r="L1221" s="2" t="s">
        <v>18</v>
      </c>
      <c r="M1221" t="str">
        <f t="shared" si="108"/>
        <v>Seongwon Yoon</v>
      </c>
      <c r="Q1221" t="str">
        <f t="shared" si="105"/>
        <v>104855syoon</v>
      </c>
    </row>
    <row r="1222" spans="1:17" hidden="1" x14ac:dyDescent="0.4">
      <c r="A1222">
        <v>1454</v>
      </c>
      <c r="B1222" s="2"/>
      <c r="C1222" s="4">
        <v>45908</v>
      </c>
      <c r="D1222" s="5">
        <v>0.58333333333333337</v>
      </c>
      <c r="E1222" s="5">
        <v>0.64583333333333337</v>
      </c>
      <c r="F1222" s="2" t="s">
        <v>9</v>
      </c>
      <c r="G1222" s="2" t="s">
        <v>10</v>
      </c>
      <c r="H1222" s="2" t="s">
        <v>551</v>
      </c>
      <c r="I1222" s="2" t="s">
        <v>552</v>
      </c>
      <c r="J1222" s="2">
        <v>104551</v>
      </c>
      <c r="K1222" s="2" t="s">
        <v>553</v>
      </c>
      <c r="L1222" s="2" t="s">
        <v>18</v>
      </c>
      <c r="M1222" t="str">
        <f>I1222 &amp; " " &amp; K1222</f>
        <v>Seongwon Yoon</v>
      </c>
      <c r="Q1222" t="str">
        <f t="shared" si="105"/>
        <v>104551syoon</v>
      </c>
    </row>
    <row r="1223" spans="1:17" hidden="1" x14ac:dyDescent="0.4">
      <c r="A1223">
        <v>1455</v>
      </c>
      <c r="B1223" s="2"/>
      <c r="C1223" s="4">
        <v>45908</v>
      </c>
      <c r="D1223" s="5">
        <v>0.47916666666666669</v>
      </c>
      <c r="E1223" s="5">
        <v>0.54166666666666663</v>
      </c>
      <c r="F1223" s="2" t="s">
        <v>9</v>
      </c>
      <c r="G1223" s="2" t="s">
        <v>10</v>
      </c>
      <c r="H1223" s="2" t="s">
        <v>551</v>
      </c>
      <c r="I1223" s="2" t="s">
        <v>552</v>
      </c>
      <c r="J1223" s="2">
        <v>104550</v>
      </c>
      <c r="K1223" s="2" t="s">
        <v>553</v>
      </c>
      <c r="L1223" s="2" t="s">
        <v>18</v>
      </c>
      <c r="M1223" t="str">
        <f>I1223 &amp; " " &amp; K1223</f>
        <v>Seongwon Yoon</v>
      </c>
      <c r="Q1223" t="str">
        <f t="shared" si="105"/>
        <v>104550syoon</v>
      </c>
    </row>
    <row r="1224" spans="1:17" hidden="1" x14ac:dyDescent="0.4">
      <c r="A1224">
        <v>1456</v>
      </c>
      <c r="B1224" s="2"/>
      <c r="C1224" s="4">
        <v>45908</v>
      </c>
      <c r="D1224" s="5">
        <v>0.375</v>
      </c>
      <c r="E1224" s="5">
        <v>0.4375</v>
      </c>
      <c r="F1224" s="2" t="s">
        <v>9</v>
      </c>
      <c r="G1224" s="2" t="s">
        <v>10</v>
      </c>
      <c r="H1224" s="2" t="s">
        <v>551</v>
      </c>
      <c r="I1224" s="2" t="s">
        <v>552</v>
      </c>
      <c r="J1224" s="2">
        <v>102916</v>
      </c>
      <c r="K1224" s="2" t="s">
        <v>553</v>
      </c>
      <c r="L1224" s="2" t="s">
        <v>18</v>
      </c>
      <c r="M1224" t="str">
        <f>I1224 &amp; " " &amp; K1224</f>
        <v>Seongwon Yoon</v>
      </c>
      <c r="Q1224" t="str">
        <f t="shared" si="105"/>
        <v>102916syoon</v>
      </c>
    </row>
    <row r="1225" spans="1:17" hidden="1" x14ac:dyDescent="0.4">
      <c r="A1225">
        <v>1457</v>
      </c>
      <c r="B1225" s="2"/>
      <c r="C1225" s="4">
        <v>45909</v>
      </c>
      <c r="D1225" s="5">
        <v>0.5</v>
      </c>
      <c r="E1225" s="5">
        <v>0.54166666666666663</v>
      </c>
      <c r="F1225" s="2" t="s">
        <v>9</v>
      </c>
      <c r="G1225" s="2" t="s">
        <v>10</v>
      </c>
      <c r="H1225" s="2" t="s">
        <v>548</v>
      </c>
      <c r="I1225" s="2" t="s">
        <v>549</v>
      </c>
      <c r="J1225" s="2">
        <v>102753</v>
      </c>
      <c r="K1225" s="2" t="s">
        <v>550</v>
      </c>
      <c r="L1225" s="2" t="s">
        <v>18</v>
      </c>
      <c r="M1225" t="str">
        <f>I1225 &amp; " " &amp; K1225</f>
        <v>Sesshu Yagi</v>
      </c>
      <c r="Q1225" t="str">
        <f t="shared" si="105"/>
        <v>102753syagi</v>
      </c>
    </row>
    <row r="1226" spans="1:17" hidden="1" x14ac:dyDescent="0.4">
      <c r="A1226">
        <v>1458</v>
      </c>
      <c r="B1226" s="2"/>
      <c r="C1226" s="4">
        <v>45909</v>
      </c>
      <c r="D1226" s="5">
        <v>0.5</v>
      </c>
      <c r="E1226" s="5">
        <v>0.54166666666666663</v>
      </c>
      <c r="F1226" s="2" t="s">
        <v>9</v>
      </c>
      <c r="G1226" s="2" t="s">
        <v>10</v>
      </c>
      <c r="H1226" s="2" t="s">
        <v>247</v>
      </c>
      <c r="I1226" s="2" t="s">
        <v>248</v>
      </c>
      <c r="J1226" s="2">
        <v>102753</v>
      </c>
      <c r="K1226" s="2" t="s">
        <v>249</v>
      </c>
      <c r="L1226" s="2" t="s">
        <v>18</v>
      </c>
      <c r="M1226" t="str">
        <f>I1226 &amp; " " &amp; K1226</f>
        <v>Haoting Ye</v>
      </c>
      <c r="Q1226" t="str">
        <f t="shared" si="105"/>
        <v>102753hye</v>
      </c>
    </row>
    <row r="1227" spans="1:17" hidden="1" x14ac:dyDescent="0.4">
      <c r="A1227">
        <v>1459</v>
      </c>
      <c r="B1227" s="2"/>
      <c r="C1227" s="4">
        <v>45908</v>
      </c>
      <c r="D1227" s="5">
        <v>0.66666666666666663</v>
      </c>
      <c r="E1227" s="5">
        <v>0.72916666666666663</v>
      </c>
      <c r="F1227" s="2" t="s">
        <v>9</v>
      </c>
      <c r="G1227" s="2" t="s">
        <v>10</v>
      </c>
      <c r="H1227" s="2" t="s">
        <v>255</v>
      </c>
      <c r="I1227" s="2" t="s">
        <v>256</v>
      </c>
      <c r="J1227" s="2">
        <v>104855</v>
      </c>
      <c r="K1227" s="2" t="s">
        <v>257</v>
      </c>
      <c r="L1227" s="2" t="s">
        <v>14</v>
      </c>
      <c r="M1227" t="str">
        <f>K1227 &amp; " " &amp; I1227</f>
        <v>Zajtmann Ilan</v>
      </c>
      <c r="Q1227" t="str">
        <f t="shared" si="105"/>
        <v>104855izajtmann1</v>
      </c>
    </row>
    <row r="1228" spans="1:17" hidden="1" x14ac:dyDescent="0.4">
      <c r="A1228">
        <v>1461</v>
      </c>
      <c r="B1228" s="2"/>
      <c r="C1228" s="4">
        <v>45908</v>
      </c>
      <c r="D1228" s="5">
        <v>0.58333333333333337</v>
      </c>
      <c r="E1228" s="5">
        <v>0.64583333333333337</v>
      </c>
      <c r="F1228" s="2" t="s">
        <v>9</v>
      </c>
      <c r="G1228" s="2" t="s">
        <v>10</v>
      </c>
      <c r="H1228" s="2" t="s">
        <v>255</v>
      </c>
      <c r="I1228" s="2" t="s">
        <v>256</v>
      </c>
      <c r="J1228" s="2">
        <v>104551</v>
      </c>
      <c r="K1228" s="2" t="s">
        <v>257</v>
      </c>
      <c r="L1228" s="2" t="s">
        <v>14</v>
      </c>
      <c r="M1228" t="str">
        <f>K1228 &amp; " " &amp; I1228</f>
        <v>Zajtmann Ilan</v>
      </c>
      <c r="Q1228" t="str">
        <f t="shared" si="105"/>
        <v>104551izajtmann1</v>
      </c>
    </row>
    <row r="1229" spans="1:17" hidden="1" x14ac:dyDescent="0.4">
      <c r="A1229">
        <v>1462</v>
      </c>
      <c r="B1229" s="2"/>
      <c r="C1229" s="4">
        <v>45908</v>
      </c>
      <c r="D1229" s="5">
        <v>0.47916666666666669</v>
      </c>
      <c r="E1229" s="5">
        <v>0.54166666666666663</v>
      </c>
      <c r="F1229" s="2" t="s">
        <v>9</v>
      </c>
      <c r="G1229" s="2" t="s">
        <v>10</v>
      </c>
      <c r="H1229" s="2" t="s">
        <v>255</v>
      </c>
      <c r="I1229" s="2" t="s">
        <v>256</v>
      </c>
      <c r="J1229" s="2">
        <v>104550</v>
      </c>
      <c r="K1229" s="2" t="s">
        <v>257</v>
      </c>
      <c r="L1229" s="2" t="s">
        <v>14</v>
      </c>
      <c r="M1229" t="str">
        <f>K1229 &amp; " " &amp; I1229</f>
        <v>Zajtmann Ilan</v>
      </c>
      <c r="Q1229" t="str">
        <f t="shared" si="105"/>
        <v>104550izajtmann1</v>
      </c>
    </row>
    <row r="1230" spans="1:17" hidden="1" x14ac:dyDescent="0.4">
      <c r="A1230">
        <v>1463</v>
      </c>
      <c r="B1230" s="2"/>
      <c r="C1230" s="4">
        <v>45908</v>
      </c>
      <c r="D1230" s="5">
        <v>0.375</v>
      </c>
      <c r="E1230" s="5">
        <v>0.4375</v>
      </c>
      <c r="F1230" s="2" t="s">
        <v>9</v>
      </c>
      <c r="G1230" s="2" t="s">
        <v>10</v>
      </c>
      <c r="H1230" s="2" t="s">
        <v>255</v>
      </c>
      <c r="I1230" s="2" t="s">
        <v>256</v>
      </c>
      <c r="J1230" s="2">
        <v>102916</v>
      </c>
      <c r="K1230" s="2" t="s">
        <v>257</v>
      </c>
      <c r="L1230" s="2" t="s">
        <v>18</v>
      </c>
      <c r="M1230" t="str">
        <f>K1230 &amp; " " &amp; I1230</f>
        <v>Zajtmann Ilan</v>
      </c>
      <c r="Q1230" t="str">
        <f t="shared" si="105"/>
        <v>102916izajtmann1</v>
      </c>
    </row>
    <row r="1231" spans="1:17" hidden="1" x14ac:dyDescent="0.4">
      <c r="A1231">
        <v>1464</v>
      </c>
      <c r="B1231" s="2"/>
      <c r="C1231" s="4">
        <v>45909</v>
      </c>
      <c r="D1231" s="5">
        <v>0.5</v>
      </c>
      <c r="E1231" s="5">
        <v>0.54166666666666663</v>
      </c>
      <c r="F1231" s="2" t="s">
        <v>9</v>
      </c>
      <c r="G1231" s="2" t="s">
        <v>10</v>
      </c>
      <c r="H1231" s="2" t="s">
        <v>551</v>
      </c>
      <c r="I1231" s="2" t="s">
        <v>552</v>
      </c>
      <c r="J1231" s="2">
        <v>102753</v>
      </c>
      <c r="K1231" s="2" t="s">
        <v>553</v>
      </c>
      <c r="L1231" s="2" t="s">
        <v>18</v>
      </c>
      <c r="M1231" t="str">
        <f>I1231 &amp; " " &amp; K1231</f>
        <v>Seongwon Yoon</v>
      </c>
      <c r="Q1231" t="str">
        <f t="shared" si="105"/>
        <v>102753syoon</v>
      </c>
    </row>
    <row r="1232" spans="1:17" hidden="1" x14ac:dyDescent="0.4">
      <c r="A1232">
        <v>1465</v>
      </c>
      <c r="B1232" s="2"/>
      <c r="C1232" s="4">
        <v>45909</v>
      </c>
      <c r="D1232" s="5">
        <v>0.5</v>
      </c>
      <c r="E1232" s="5">
        <v>0.54166666666666663</v>
      </c>
      <c r="F1232" s="2" t="s">
        <v>9</v>
      </c>
      <c r="G1232" s="2" t="s">
        <v>10</v>
      </c>
      <c r="H1232" s="2" t="s">
        <v>255</v>
      </c>
      <c r="I1232" s="2" t="s">
        <v>256</v>
      </c>
      <c r="J1232" s="2">
        <v>102753</v>
      </c>
      <c r="K1232" s="2" t="s">
        <v>257</v>
      </c>
      <c r="L1232" s="2" t="s">
        <v>14</v>
      </c>
      <c r="M1232" t="str">
        <f>K1232 &amp; " " &amp; I1232</f>
        <v>Zajtmann Ilan</v>
      </c>
      <c r="Q1232" t="str">
        <f t="shared" si="105"/>
        <v>102753izajtmann1</v>
      </c>
    </row>
    <row r="1233" spans="1:17" hidden="1" x14ac:dyDescent="0.4">
      <c r="A1233">
        <v>1466</v>
      </c>
      <c r="B1233" s="2"/>
      <c r="C1233" s="4">
        <v>45908</v>
      </c>
      <c r="D1233" s="5">
        <v>0.66666666666666663</v>
      </c>
      <c r="E1233" s="5">
        <v>0.72916666666666663</v>
      </c>
      <c r="F1233" s="2" t="s">
        <v>9</v>
      </c>
      <c r="G1233" s="2" t="s">
        <v>10</v>
      </c>
      <c r="H1233" s="2" t="s">
        <v>187</v>
      </c>
      <c r="I1233" s="2" t="s">
        <v>188</v>
      </c>
      <c r="J1233" s="2">
        <v>104855</v>
      </c>
      <c r="K1233" s="2" t="s">
        <v>189</v>
      </c>
      <c r="L1233" s="2" t="s">
        <v>18</v>
      </c>
      <c r="M1233" t="str">
        <f>I1233 &amp; " " &amp; K1233</f>
        <v>Enzo Zemihi</v>
      </c>
      <c r="Q1233" t="str">
        <f t="shared" si="105"/>
        <v>104855ezemihi</v>
      </c>
    </row>
    <row r="1234" spans="1:17" hidden="1" x14ac:dyDescent="0.4">
      <c r="A1234">
        <v>1468</v>
      </c>
      <c r="B1234" s="2"/>
      <c r="C1234" s="4">
        <v>45908</v>
      </c>
      <c r="D1234" s="5">
        <v>0.58333333333333337</v>
      </c>
      <c r="E1234" s="5">
        <v>0.64583333333333337</v>
      </c>
      <c r="F1234" s="2" t="s">
        <v>9</v>
      </c>
      <c r="G1234" s="2" t="s">
        <v>10</v>
      </c>
      <c r="H1234" s="2" t="s">
        <v>187</v>
      </c>
      <c r="I1234" s="2" t="s">
        <v>188</v>
      </c>
      <c r="J1234" s="2">
        <v>104551</v>
      </c>
      <c r="K1234" s="2" t="s">
        <v>189</v>
      </c>
      <c r="L1234" s="2" t="s">
        <v>18</v>
      </c>
      <c r="M1234" t="str">
        <f>I1234 &amp; " " &amp; K1234</f>
        <v>Enzo Zemihi</v>
      </c>
      <c r="Q1234" t="str">
        <f t="shared" si="105"/>
        <v>104551ezemihi</v>
      </c>
    </row>
    <row r="1235" spans="1:17" hidden="1" x14ac:dyDescent="0.4">
      <c r="A1235">
        <v>1469</v>
      </c>
      <c r="B1235" s="2"/>
      <c r="C1235" s="4">
        <v>45908</v>
      </c>
      <c r="D1235" s="5">
        <v>0.47916666666666669</v>
      </c>
      <c r="E1235" s="5">
        <v>0.54166666666666663</v>
      </c>
      <c r="F1235" s="2" t="s">
        <v>9</v>
      </c>
      <c r="G1235" s="2" t="s">
        <v>10</v>
      </c>
      <c r="H1235" s="2" t="s">
        <v>187</v>
      </c>
      <c r="I1235" s="2" t="s">
        <v>188</v>
      </c>
      <c r="J1235" s="2">
        <v>104550</v>
      </c>
      <c r="K1235" s="2" t="s">
        <v>189</v>
      </c>
      <c r="L1235" s="2" t="s">
        <v>18</v>
      </c>
      <c r="M1235" t="str">
        <f>I1235 &amp; " " &amp; K1235</f>
        <v>Enzo Zemihi</v>
      </c>
      <c r="Q1235" t="str">
        <f t="shared" si="105"/>
        <v>104550ezemihi</v>
      </c>
    </row>
    <row r="1236" spans="1:17" hidden="1" x14ac:dyDescent="0.4">
      <c r="A1236">
        <v>1470</v>
      </c>
      <c r="B1236" s="2"/>
      <c r="C1236" s="4">
        <v>45908</v>
      </c>
      <c r="D1236" s="5">
        <v>0.375</v>
      </c>
      <c r="E1236" s="5">
        <v>0.4375</v>
      </c>
      <c r="F1236" s="2" t="s">
        <v>9</v>
      </c>
      <c r="G1236" s="2" t="s">
        <v>10</v>
      </c>
      <c r="H1236" s="2" t="s">
        <v>187</v>
      </c>
      <c r="I1236" s="2" t="s">
        <v>188</v>
      </c>
      <c r="J1236" s="2">
        <v>102916</v>
      </c>
      <c r="K1236" s="2" t="s">
        <v>189</v>
      </c>
      <c r="L1236" s="2" t="s">
        <v>18</v>
      </c>
      <c r="M1236" t="str">
        <f>I1236 &amp; " " &amp; K1236</f>
        <v>Enzo Zemihi</v>
      </c>
      <c r="Q1236" t="str">
        <f t="shared" si="105"/>
        <v>102916ezemihi</v>
      </c>
    </row>
    <row r="1237" spans="1:17" hidden="1" x14ac:dyDescent="0.4">
      <c r="A1237">
        <v>1471</v>
      </c>
      <c r="B1237" s="2"/>
      <c r="C1237" s="4">
        <v>45909</v>
      </c>
      <c r="D1237" s="5">
        <v>0.5</v>
      </c>
      <c r="E1237" s="5">
        <v>0.54166666666666663</v>
      </c>
      <c r="F1237" s="2" t="s">
        <v>9</v>
      </c>
      <c r="G1237" s="2" t="s">
        <v>10</v>
      </c>
      <c r="H1237" s="2" t="s">
        <v>187</v>
      </c>
      <c r="I1237" s="2" t="s">
        <v>188</v>
      </c>
      <c r="J1237" s="2">
        <v>102753</v>
      </c>
      <c r="K1237" s="2" t="s">
        <v>189</v>
      </c>
      <c r="L1237" s="2" t="s">
        <v>14</v>
      </c>
      <c r="M1237" t="str">
        <f>K1237 &amp; " " &amp; I1237</f>
        <v>Zemihi Enzo</v>
      </c>
      <c r="Q1237" t="str">
        <f t="shared" si="105"/>
        <v>102753ezemihi</v>
      </c>
    </row>
    <row r="1238" spans="1:17" hidden="1" x14ac:dyDescent="0.4">
      <c r="A1238">
        <v>1472</v>
      </c>
      <c r="C1238" s="4">
        <v>45908</v>
      </c>
      <c r="D1238" s="5">
        <v>0.47916666666666669</v>
      </c>
      <c r="E1238" s="5">
        <v>0.54166666666666663</v>
      </c>
      <c r="H1238" s="2" t="s">
        <v>650</v>
      </c>
      <c r="I1238" s="2" t="s">
        <v>503</v>
      </c>
      <c r="J1238" s="2">
        <v>104550</v>
      </c>
      <c r="K1238" s="2" t="s">
        <v>651</v>
      </c>
      <c r="L1238" s="2" t="s">
        <v>18</v>
      </c>
      <c r="M1238" s="2" t="s">
        <v>652</v>
      </c>
      <c r="Q1238" t="str">
        <f t="shared" si="105"/>
        <v>104550rcorjon</v>
      </c>
    </row>
    <row r="1239" spans="1:17" hidden="1" x14ac:dyDescent="0.4">
      <c r="A1239">
        <v>1473</v>
      </c>
      <c r="C1239" s="18">
        <v>45908</v>
      </c>
      <c r="D1239" s="19">
        <v>0.375</v>
      </c>
      <c r="E1239" s="19">
        <v>0.4375</v>
      </c>
      <c r="H1239" s="14" t="s">
        <v>653</v>
      </c>
      <c r="I1239" s="14" t="s">
        <v>654</v>
      </c>
      <c r="J1239" s="17">
        <v>104550</v>
      </c>
      <c r="K1239" t="s">
        <v>656</v>
      </c>
      <c r="L1239" s="14" t="s">
        <v>18</v>
      </c>
      <c r="M1239" s="14" t="s">
        <v>655</v>
      </c>
      <c r="Q1239" t="str">
        <f t="shared" si="105"/>
        <v>104550mmesplededevalicourt</v>
      </c>
    </row>
    <row r="1240" spans="1:17" s="10" customFormat="1" hidden="1" x14ac:dyDescent="0.4">
      <c r="A1240">
        <v>1474</v>
      </c>
      <c r="B1240"/>
      <c r="C1240" s="11">
        <v>45908</v>
      </c>
      <c r="D1240" s="12">
        <v>0.47916666666666669</v>
      </c>
      <c r="E1240" s="12">
        <v>0.54166666666666663</v>
      </c>
      <c r="F1240"/>
      <c r="G1240"/>
      <c r="H1240" s="13" t="s">
        <v>624</v>
      </c>
      <c r="I1240" s="13" t="s">
        <v>622</v>
      </c>
      <c r="J1240" s="13">
        <v>102916</v>
      </c>
      <c r="K1240" s="13" t="s">
        <v>233</v>
      </c>
      <c r="L1240" s="13" t="s">
        <v>18</v>
      </c>
      <c r="M1240" s="13" t="s">
        <v>623</v>
      </c>
      <c r="Q1240" t="str">
        <f t="shared" ref="Q1240:Q1300" si="109">J1240&amp;H1240</f>
        <v>102916mhenry2</v>
      </c>
    </row>
    <row r="1241" spans="1:17" s="10" customFormat="1" hidden="1" x14ac:dyDescent="0.4">
      <c r="A1241">
        <v>1475</v>
      </c>
      <c r="B1241"/>
      <c r="C1241" s="11">
        <v>45908</v>
      </c>
      <c r="D1241" s="12">
        <v>0.375</v>
      </c>
      <c r="E1241" s="12">
        <v>0.4375</v>
      </c>
      <c r="F1241"/>
      <c r="G1241"/>
      <c r="H1241" s="10" t="s">
        <v>627</v>
      </c>
      <c r="I1241" s="10" t="s">
        <v>628</v>
      </c>
      <c r="J1241" s="13">
        <v>102916</v>
      </c>
      <c r="K1241" s="10" t="s">
        <v>625</v>
      </c>
      <c r="L1241" s="10" t="s">
        <v>18</v>
      </c>
      <c r="M1241" s="10" t="s">
        <v>626</v>
      </c>
      <c r="Q1241" t="str">
        <f t="shared" si="109"/>
        <v>102916apollier</v>
      </c>
    </row>
    <row r="1242" spans="1:17" s="10" customFormat="1" hidden="1" x14ac:dyDescent="0.4">
      <c r="A1242">
        <v>1476</v>
      </c>
      <c r="B1242"/>
      <c r="C1242" s="11">
        <v>45908</v>
      </c>
      <c r="D1242" s="12">
        <v>0.375</v>
      </c>
      <c r="E1242" s="12">
        <v>0.4375</v>
      </c>
      <c r="F1242"/>
      <c r="G1242"/>
      <c r="H1242" s="10" t="s">
        <v>631</v>
      </c>
      <c r="I1242" s="10" t="s">
        <v>632</v>
      </c>
      <c r="J1242" s="13">
        <v>102916</v>
      </c>
      <c r="K1242" s="10" t="s">
        <v>629</v>
      </c>
      <c r="L1242" s="10" t="s">
        <v>18</v>
      </c>
      <c r="M1242" s="10" t="s">
        <v>630</v>
      </c>
      <c r="Q1242" t="str">
        <f t="shared" si="109"/>
        <v>102916lnolot</v>
      </c>
    </row>
    <row r="1243" spans="1:17" s="10" customFormat="1" hidden="1" x14ac:dyDescent="0.4">
      <c r="A1243">
        <v>1477</v>
      </c>
      <c r="B1243"/>
      <c r="C1243" s="11">
        <v>45908</v>
      </c>
      <c r="D1243" s="12">
        <v>0.375</v>
      </c>
      <c r="E1243" s="12">
        <v>0.4375</v>
      </c>
      <c r="F1243"/>
      <c r="G1243"/>
      <c r="H1243" s="10" t="s">
        <v>169</v>
      </c>
      <c r="I1243" s="10" t="s">
        <v>633</v>
      </c>
      <c r="J1243" s="13">
        <v>102916</v>
      </c>
      <c r="K1243" s="10" t="s">
        <v>171</v>
      </c>
      <c r="L1243" s="10" t="s">
        <v>18</v>
      </c>
      <c r="M1243" s="10" t="s">
        <v>634</v>
      </c>
      <c r="Q1243" t="str">
        <f t="shared" si="109"/>
        <v>102916emeens</v>
      </c>
    </row>
    <row r="1244" spans="1:17" s="10" customFormat="1" hidden="1" x14ac:dyDescent="0.4">
      <c r="A1244">
        <v>1478</v>
      </c>
      <c r="B1244"/>
      <c r="C1244" s="11">
        <v>45908</v>
      </c>
      <c r="D1244" s="12">
        <v>0.375</v>
      </c>
      <c r="E1244" s="12">
        <v>0.4375</v>
      </c>
      <c r="F1244"/>
      <c r="G1244"/>
      <c r="H1244" s="10" t="s">
        <v>235</v>
      </c>
      <c r="I1244" s="10" t="s">
        <v>236</v>
      </c>
      <c r="J1244" s="13">
        <v>102916</v>
      </c>
      <c r="K1244" s="10" t="s">
        <v>237</v>
      </c>
      <c r="L1244" s="10" t="s">
        <v>18</v>
      </c>
      <c r="M1244" s="10" t="s">
        <v>635</v>
      </c>
      <c r="Q1244" t="str">
        <f t="shared" si="109"/>
        <v>102916hozenne</v>
      </c>
    </row>
    <row r="1245" spans="1:17" s="10" customFormat="1" hidden="1" x14ac:dyDescent="0.4">
      <c r="A1245">
        <v>1480</v>
      </c>
      <c r="B1245"/>
      <c r="C1245" s="11">
        <v>45908</v>
      </c>
      <c r="D1245" s="12">
        <v>0.375</v>
      </c>
      <c r="E1245" s="12">
        <v>0.4375</v>
      </c>
      <c r="F1245"/>
      <c r="G1245"/>
      <c r="H1245" s="10" t="s">
        <v>637</v>
      </c>
      <c r="I1245" s="10" t="s">
        <v>638</v>
      </c>
      <c r="J1245" s="13">
        <v>102916</v>
      </c>
      <c r="K1245" s="10" t="s">
        <v>636</v>
      </c>
      <c r="L1245" s="10" t="s">
        <v>18</v>
      </c>
      <c r="M1245" s="10" t="s">
        <v>639</v>
      </c>
      <c r="Q1245" t="str">
        <f t="shared" si="109"/>
        <v>102916mfiorina</v>
      </c>
    </row>
    <row r="1246" spans="1:17" s="10" customFormat="1" hidden="1" x14ac:dyDescent="0.4">
      <c r="A1246">
        <v>1481</v>
      </c>
      <c r="B1246"/>
      <c r="C1246" s="11">
        <v>45908</v>
      </c>
      <c r="D1246" s="12">
        <v>0.375</v>
      </c>
      <c r="E1246" s="12">
        <v>0.4375</v>
      </c>
      <c r="F1246"/>
      <c r="G1246"/>
      <c r="H1246" s="10" t="s">
        <v>640</v>
      </c>
      <c r="I1246" s="10" t="s">
        <v>267</v>
      </c>
      <c r="J1246" s="13">
        <v>102916</v>
      </c>
      <c r="K1246" s="10" t="s">
        <v>641</v>
      </c>
      <c r="L1246" s="10" t="s">
        <v>18</v>
      </c>
      <c r="M1246" s="10" t="s">
        <v>642</v>
      </c>
      <c r="Q1246" t="str">
        <f t="shared" si="109"/>
        <v>102916jszulcbaptista</v>
      </c>
    </row>
    <row r="1247" spans="1:17" s="10" customFormat="1" hidden="1" x14ac:dyDescent="0.4">
      <c r="A1247">
        <v>1482</v>
      </c>
      <c r="B1247"/>
      <c r="C1247" s="11">
        <v>45908</v>
      </c>
      <c r="D1247" s="12">
        <v>0.375</v>
      </c>
      <c r="E1247" s="12">
        <v>0.4375</v>
      </c>
      <c r="F1247"/>
      <c r="G1247"/>
      <c r="H1247" s="10" t="s">
        <v>643</v>
      </c>
      <c r="I1247" s="10" t="s">
        <v>644</v>
      </c>
      <c r="J1247" s="13">
        <v>102916</v>
      </c>
      <c r="K1247" s="10" t="s">
        <v>144</v>
      </c>
      <c r="L1247" s="10" t="s">
        <v>18</v>
      </c>
      <c r="M1247" s="10" t="s">
        <v>645</v>
      </c>
      <c r="Q1247" t="str">
        <f t="shared" si="109"/>
        <v>102916pcwang</v>
      </c>
    </row>
    <row r="1248" spans="1:17" s="10" customFormat="1" hidden="1" x14ac:dyDescent="0.4">
      <c r="A1248">
        <v>1483</v>
      </c>
      <c r="B1248"/>
      <c r="C1248" s="11">
        <v>45908</v>
      </c>
      <c r="D1248" s="12">
        <v>0.375</v>
      </c>
      <c r="E1248" s="12">
        <v>0.4375</v>
      </c>
      <c r="F1248"/>
      <c r="G1248"/>
      <c r="H1248" s="10" t="s">
        <v>647</v>
      </c>
      <c r="I1248" s="10" t="s">
        <v>648</v>
      </c>
      <c r="J1248" s="13">
        <v>102916</v>
      </c>
      <c r="K1248" s="10" t="s">
        <v>646</v>
      </c>
      <c r="L1248" s="10" t="s">
        <v>18</v>
      </c>
      <c r="M1248" s="10" t="s">
        <v>649</v>
      </c>
      <c r="Q1248" t="str">
        <f t="shared" si="109"/>
        <v>102916ggemot</v>
      </c>
    </row>
    <row r="1249" spans="1:17" hidden="1" x14ac:dyDescent="0.4">
      <c r="A1249">
        <v>1485</v>
      </c>
      <c r="C1249" t="e">
        <f>_xlfn.XLOOKUP(J1249,J:J,C1:C1248,"",0,1)</f>
        <v>#VALUE!</v>
      </c>
      <c r="H1249" t="str">
        <f>SUBSTITUTE(SUBSTITUTE(SUBSTITUTE(LOWER(LEFT(I1249,1) &amp; K1249)," ",""),"-",""),"é","e")</f>
        <v>mcattiaux</v>
      </c>
      <c r="I1249" s="10" t="s">
        <v>684</v>
      </c>
      <c r="J1249" s="13">
        <v>104550</v>
      </c>
      <c r="K1249" s="10" t="s">
        <v>657</v>
      </c>
      <c r="L1249" s="10" t="s">
        <v>18</v>
      </c>
      <c r="N1249" s="10" t="s">
        <v>712</v>
      </c>
      <c r="Q1249" t="str">
        <f t="shared" si="109"/>
        <v>104550mcattiaux</v>
      </c>
    </row>
    <row r="1250" spans="1:17" hidden="1" x14ac:dyDescent="0.4">
      <c r="A1250">
        <v>1486</v>
      </c>
      <c r="H1250" t="str">
        <f t="shared" ref="H1250:H1311" si="110">SUBSTITUTE(SUBSTITUTE(SUBSTITUTE(LOWER(LEFT(I1250,1) &amp; K1250)," ",""),"-",""),"é","e")</f>
        <v>mribeyron</v>
      </c>
      <c r="I1250" s="10" t="s">
        <v>659</v>
      </c>
      <c r="J1250" s="13">
        <v>104550</v>
      </c>
      <c r="K1250" s="10" t="s">
        <v>658</v>
      </c>
      <c r="L1250" s="10" t="s">
        <v>18</v>
      </c>
      <c r="N1250" s="10" t="s">
        <v>712</v>
      </c>
      <c r="Q1250" t="str">
        <f t="shared" si="109"/>
        <v>104550mribeyron</v>
      </c>
    </row>
    <row r="1251" spans="1:17" hidden="1" x14ac:dyDescent="0.4">
      <c r="A1251">
        <v>1487</v>
      </c>
      <c r="H1251" t="str">
        <f t="shared" si="110"/>
        <v>emarchal</v>
      </c>
      <c r="I1251" s="10" t="s">
        <v>660</v>
      </c>
      <c r="J1251" s="13">
        <v>104550</v>
      </c>
      <c r="K1251" s="10" t="s">
        <v>661</v>
      </c>
      <c r="L1251" s="10" t="s">
        <v>18</v>
      </c>
      <c r="N1251" s="10" t="s">
        <v>712</v>
      </c>
      <c r="Q1251" t="str">
        <f t="shared" si="109"/>
        <v>104550emarchal</v>
      </c>
    </row>
    <row r="1252" spans="1:17" hidden="1" x14ac:dyDescent="0.4">
      <c r="A1252">
        <v>1488</v>
      </c>
      <c r="H1252" t="str">
        <f t="shared" si="110"/>
        <v>vbaptiste</v>
      </c>
      <c r="I1252" s="10" t="s">
        <v>662</v>
      </c>
      <c r="J1252" s="13">
        <v>104550</v>
      </c>
      <c r="K1252" s="10" t="s">
        <v>663</v>
      </c>
      <c r="L1252" s="10" t="s">
        <v>18</v>
      </c>
      <c r="N1252" s="10" t="s">
        <v>712</v>
      </c>
      <c r="Q1252" t="str">
        <f t="shared" si="109"/>
        <v>104550vbaptiste</v>
      </c>
    </row>
    <row r="1253" spans="1:17" hidden="1" x14ac:dyDescent="0.4">
      <c r="A1253">
        <v>1489</v>
      </c>
      <c r="H1253" t="str">
        <f t="shared" si="110"/>
        <v>enebra</v>
      </c>
      <c r="I1253" s="10" t="s">
        <v>664</v>
      </c>
      <c r="J1253" s="13">
        <v>104550</v>
      </c>
      <c r="K1253" s="10" t="s">
        <v>665</v>
      </c>
      <c r="L1253" s="10" t="s">
        <v>18</v>
      </c>
      <c r="N1253" s="10" t="s">
        <v>712</v>
      </c>
      <c r="Q1253" t="str">
        <f t="shared" si="109"/>
        <v>104550enebra</v>
      </c>
    </row>
    <row r="1254" spans="1:17" hidden="1" x14ac:dyDescent="0.4">
      <c r="A1254">
        <v>1490</v>
      </c>
      <c r="H1254" t="str">
        <f t="shared" si="110"/>
        <v>sgiordano</v>
      </c>
      <c r="I1254" s="10" t="s">
        <v>666</v>
      </c>
      <c r="J1254" s="13">
        <v>104550</v>
      </c>
      <c r="K1254" s="10" t="s">
        <v>667</v>
      </c>
      <c r="L1254" s="10" t="s">
        <v>18</v>
      </c>
      <c r="N1254" s="10" t="s">
        <v>712</v>
      </c>
      <c r="Q1254" t="str">
        <f t="shared" si="109"/>
        <v>104550sgiordano</v>
      </c>
    </row>
    <row r="1255" spans="1:17" hidden="1" x14ac:dyDescent="0.4">
      <c r="A1255">
        <v>1491</v>
      </c>
      <c r="H1255" t="str">
        <f t="shared" si="110"/>
        <v>omakhloufi</v>
      </c>
      <c r="I1255" s="10" t="s">
        <v>668</v>
      </c>
      <c r="J1255" s="13">
        <v>104550</v>
      </c>
      <c r="K1255" s="10" t="s">
        <v>669</v>
      </c>
      <c r="L1255" s="10" t="s">
        <v>18</v>
      </c>
      <c r="N1255" s="10" t="s">
        <v>712</v>
      </c>
      <c r="Q1255" t="str">
        <f t="shared" si="109"/>
        <v>104550omakhloufi</v>
      </c>
    </row>
    <row r="1256" spans="1:17" hidden="1" x14ac:dyDescent="0.4">
      <c r="A1256">
        <v>1492</v>
      </c>
      <c r="H1256" t="str">
        <f t="shared" si="110"/>
        <v>jcasier</v>
      </c>
      <c r="I1256" s="10" t="s">
        <v>670</v>
      </c>
      <c r="J1256" s="13">
        <v>104550</v>
      </c>
      <c r="K1256" s="10" t="s">
        <v>671</v>
      </c>
      <c r="L1256" s="10" t="s">
        <v>18</v>
      </c>
      <c r="N1256" s="10" t="s">
        <v>712</v>
      </c>
      <c r="Q1256" t="str">
        <f t="shared" si="109"/>
        <v>104550jcasier</v>
      </c>
    </row>
    <row r="1257" spans="1:17" hidden="1" x14ac:dyDescent="0.4">
      <c r="A1257">
        <v>1493</v>
      </c>
      <c r="H1257" t="str">
        <f t="shared" si="110"/>
        <v>pcambianica</v>
      </c>
      <c r="I1257" s="10" t="s">
        <v>672</v>
      </c>
      <c r="J1257" s="13">
        <v>104550</v>
      </c>
      <c r="K1257" s="10" t="s">
        <v>673</v>
      </c>
      <c r="L1257" s="10" t="s">
        <v>18</v>
      </c>
      <c r="N1257" s="10" t="s">
        <v>712</v>
      </c>
      <c r="Q1257" t="str">
        <f t="shared" si="109"/>
        <v>104550pcambianica</v>
      </c>
    </row>
    <row r="1258" spans="1:17" hidden="1" x14ac:dyDescent="0.4">
      <c r="A1258">
        <v>1494</v>
      </c>
      <c r="H1258" t="str">
        <f t="shared" si="110"/>
        <v>jlerheim</v>
      </c>
      <c r="I1258" s="10" t="s">
        <v>674</v>
      </c>
      <c r="J1258" s="13">
        <v>104550</v>
      </c>
      <c r="K1258" s="10" t="s">
        <v>675</v>
      </c>
      <c r="L1258" s="10" t="s">
        <v>18</v>
      </c>
      <c r="N1258" s="10" t="s">
        <v>712</v>
      </c>
      <c r="Q1258" t="str">
        <f t="shared" si="109"/>
        <v>104550jlerheim</v>
      </c>
    </row>
    <row r="1259" spans="1:17" hidden="1" x14ac:dyDescent="0.4">
      <c r="A1259">
        <v>1495</v>
      </c>
      <c r="H1259" t="str">
        <f t="shared" si="110"/>
        <v>igasparrodrigues</v>
      </c>
      <c r="I1259" s="10" t="s">
        <v>676</v>
      </c>
      <c r="J1259" s="13">
        <v>104550</v>
      </c>
      <c r="K1259" s="10" t="s">
        <v>677</v>
      </c>
      <c r="L1259" s="10" t="s">
        <v>18</v>
      </c>
      <c r="N1259" s="10" t="s">
        <v>712</v>
      </c>
      <c r="Q1259" t="str">
        <f t="shared" si="109"/>
        <v>104550igasparrodrigues</v>
      </c>
    </row>
    <row r="1260" spans="1:17" hidden="1" x14ac:dyDescent="0.4">
      <c r="A1260">
        <v>1496</v>
      </c>
      <c r="H1260" t="str">
        <f t="shared" si="110"/>
        <v>nguerlavas</v>
      </c>
      <c r="I1260" s="10" t="s">
        <v>442</v>
      </c>
      <c r="J1260" s="13">
        <v>104550</v>
      </c>
      <c r="K1260" s="10" t="s">
        <v>678</v>
      </c>
      <c r="L1260" s="10" t="s">
        <v>18</v>
      </c>
      <c r="N1260" s="10" t="s">
        <v>712</v>
      </c>
      <c r="Q1260" t="str">
        <f t="shared" si="109"/>
        <v>104550nguerlavas</v>
      </c>
    </row>
    <row r="1261" spans="1:17" hidden="1" x14ac:dyDescent="0.4">
      <c r="A1261">
        <v>1497</v>
      </c>
      <c r="H1261" t="str">
        <f t="shared" si="110"/>
        <v>shennequin</v>
      </c>
      <c r="I1261" s="10" t="s">
        <v>679</v>
      </c>
      <c r="J1261" s="13">
        <v>104550</v>
      </c>
      <c r="K1261" s="10" t="s">
        <v>680</v>
      </c>
      <c r="L1261" s="10" t="s">
        <v>18</v>
      </c>
      <c r="N1261" s="10" t="s">
        <v>712</v>
      </c>
      <c r="Q1261" t="str">
        <f t="shared" si="109"/>
        <v>104550shennequin</v>
      </c>
    </row>
    <row r="1262" spans="1:17" hidden="1" x14ac:dyDescent="0.4">
      <c r="A1262">
        <v>1498</v>
      </c>
      <c r="H1262" t="str">
        <f t="shared" si="110"/>
        <v>mherouard</v>
      </c>
      <c r="I1262" s="10" t="s">
        <v>681</v>
      </c>
      <c r="J1262" s="13">
        <v>104550</v>
      </c>
      <c r="K1262" s="10" t="s">
        <v>682</v>
      </c>
      <c r="L1262" s="10" t="s">
        <v>18</v>
      </c>
      <c r="N1262" s="10" t="s">
        <v>712</v>
      </c>
      <c r="Q1262" t="str">
        <f t="shared" si="109"/>
        <v>104550mherouard</v>
      </c>
    </row>
    <row r="1263" spans="1:17" hidden="1" x14ac:dyDescent="0.4">
      <c r="A1263">
        <v>1499</v>
      </c>
      <c r="H1263" t="str">
        <f t="shared" si="110"/>
        <v>alhomme</v>
      </c>
      <c r="I1263" s="10" t="s">
        <v>23</v>
      </c>
      <c r="J1263" s="13">
        <v>104550</v>
      </c>
      <c r="K1263" s="10" t="s">
        <v>683</v>
      </c>
      <c r="L1263" s="10" t="s">
        <v>18</v>
      </c>
      <c r="N1263" s="10" t="s">
        <v>712</v>
      </c>
      <c r="Q1263" t="str">
        <f t="shared" si="109"/>
        <v>104550alhomme</v>
      </c>
    </row>
    <row r="1264" spans="1:17" hidden="1" x14ac:dyDescent="0.4">
      <c r="A1264">
        <v>1500</v>
      </c>
      <c r="H1264" t="str">
        <f t="shared" si="110"/>
        <v>cdelvalle</v>
      </c>
      <c r="I1264" s="10" t="s">
        <v>685</v>
      </c>
      <c r="J1264" s="13">
        <v>104550</v>
      </c>
      <c r="K1264" s="10" t="s">
        <v>686</v>
      </c>
      <c r="L1264" s="10" t="s">
        <v>18</v>
      </c>
      <c r="N1264" s="10" t="s">
        <v>712</v>
      </c>
      <c r="Q1264" t="str">
        <f t="shared" si="109"/>
        <v>104550cdelvalle</v>
      </c>
    </row>
    <row r="1265" spans="1:17" hidden="1" x14ac:dyDescent="0.4">
      <c r="A1265">
        <v>1501</v>
      </c>
      <c r="H1265" t="str">
        <f t="shared" si="110"/>
        <v>ggemot</v>
      </c>
      <c r="I1265" s="10" t="s">
        <v>648</v>
      </c>
      <c r="J1265" s="13">
        <v>104550</v>
      </c>
      <c r="K1265" s="10" t="s">
        <v>646</v>
      </c>
      <c r="L1265" s="10" t="s">
        <v>18</v>
      </c>
      <c r="N1265" s="10" t="s">
        <v>712</v>
      </c>
      <c r="Q1265" t="str">
        <f t="shared" si="109"/>
        <v>104550ggemot</v>
      </c>
    </row>
    <row r="1266" spans="1:17" hidden="1" x14ac:dyDescent="0.4">
      <c r="A1266">
        <v>1502</v>
      </c>
      <c r="H1266" t="str">
        <f t="shared" si="110"/>
        <v>craynaudflavier</v>
      </c>
      <c r="I1266" s="10" t="s">
        <v>687</v>
      </c>
      <c r="J1266" s="13">
        <v>104550</v>
      </c>
      <c r="K1266" s="10" t="s">
        <v>688</v>
      </c>
      <c r="L1266" s="10" t="s">
        <v>18</v>
      </c>
      <c r="N1266" s="10" t="s">
        <v>712</v>
      </c>
      <c r="Q1266" t="str">
        <f t="shared" si="109"/>
        <v>104550craynaudflavier</v>
      </c>
    </row>
    <row r="1267" spans="1:17" hidden="1" x14ac:dyDescent="0.4">
      <c r="A1267">
        <v>1503</v>
      </c>
      <c r="H1267" t="str">
        <f t="shared" si="110"/>
        <v>lmarinot</v>
      </c>
      <c r="I1267" s="10" t="s">
        <v>689</v>
      </c>
      <c r="J1267" s="13">
        <v>104551</v>
      </c>
      <c r="K1267" s="10" t="s">
        <v>690</v>
      </c>
      <c r="L1267" s="10" t="s">
        <v>18</v>
      </c>
      <c r="N1267" s="10" t="s">
        <v>712</v>
      </c>
      <c r="Q1267" t="str">
        <f t="shared" si="109"/>
        <v>104551lmarinot</v>
      </c>
    </row>
    <row r="1268" spans="1:17" hidden="1" x14ac:dyDescent="0.4">
      <c r="A1268">
        <v>1504</v>
      </c>
      <c r="H1268" t="str">
        <f t="shared" si="110"/>
        <v>arajaobelina</v>
      </c>
      <c r="I1268" s="10" t="s">
        <v>691</v>
      </c>
      <c r="J1268" s="13">
        <v>104551</v>
      </c>
      <c r="K1268" s="10" t="s">
        <v>692</v>
      </c>
      <c r="L1268" s="10" t="s">
        <v>18</v>
      </c>
      <c r="N1268" s="10" t="s">
        <v>712</v>
      </c>
      <c r="Q1268" t="str">
        <f t="shared" si="109"/>
        <v>104551arajaobelina</v>
      </c>
    </row>
    <row r="1269" spans="1:17" hidden="1" x14ac:dyDescent="0.4">
      <c r="A1269">
        <v>1505</v>
      </c>
      <c r="H1269" t="str">
        <f t="shared" si="110"/>
        <v>omakhloufi</v>
      </c>
      <c r="I1269" s="10" t="s">
        <v>668</v>
      </c>
      <c r="J1269" s="13">
        <v>104551</v>
      </c>
      <c r="K1269" s="10" t="s">
        <v>669</v>
      </c>
      <c r="L1269" s="10" t="s">
        <v>18</v>
      </c>
      <c r="N1269" s="10" t="s">
        <v>712</v>
      </c>
      <c r="Q1269" t="str">
        <f t="shared" si="109"/>
        <v>104551omakhloufi</v>
      </c>
    </row>
    <row r="1270" spans="1:17" hidden="1" x14ac:dyDescent="0.4">
      <c r="A1270">
        <v>1506</v>
      </c>
      <c r="H1270" t="str">
        <f t="shared" si="110"/>
        <v>jlerheim</v>
      </c>
      <c r="I1270" s="10" t="s">
        <v>674</v>
      </c>
      <c r="J1270" s="13">
        <v>104551</v>
      </c>
      <c r="K1270" s="10" t="s">
        <v>675</v>
      </c>
      <c r="L1270" s="10" t="s">
        <v>18</v>
      </c>
      <c r="N1270" s="10" t="s">
        <v>712</v>
      </c>
      <c r="Q1270" t="str">
        <f t="shared" si="109"/>
        <v>104551jlerheim</v>
      </c>
    </row>
    <row r="1271" spans="1:17" hidden="1" x14ac:dyDescent="0.4">
      <c r="A1271">
        <v>1507</v>
      </c>
      <c r="H1271" t="str">
        <f t="shared" si="110"/>
        <v>pcambianica</v>
      </c>
      <c r="I1271" s="10" t="s">
        <v>672</v>
      </c>
      <c r="J1271" s="13">
        <v>104551</v>
      </c>
      <c r="K1271" s="10" t="s">
        <v>673</v>
      </c>
      <c r="L1271" s="10" t="s">
        <v>18</v>
      </c>
      <c r="N1271" s="10" t="s">
        <v>712</v>
      </c>
      <c r="Q1271" t="str">
        <f t="shared" si="109"/>
        <v>104551pcambianica</v>
      </c>
    </row>
    <row r="1272" spans="1:17" hidden="1" x14ac:dyDescent="0.4">
      <c r="A1272">
        <v>1508</v>
      </c>
      <c r="H1272" t="str">
        <f t="shared" si="110"/>
        <v>jcasier</v>
      </c>
      <c r="I1272" s="10" t="s">
        <v>670</v>
      </c>
      <c r="J1272" s="13">
        <v>104551</v>
      </c>
      <c r="K1272" s="10" t="s">
        <v>671</v>
      </c>
      <c r="L1272" s="10" t="s">
        <v>18</v>
      </c>
      <c r="N1272" s="10" t="s">
        <v>712</v>
      </c>
      <c r="Q1272" t="str">
        <f t="shared" si="109"/>
        <v>104551jcasier</v>
      </c>
    </row>
    <row r="1273" spans="1:17" hidden="1" x14ac:dyDescent="0.4">
      <c r="A1273">
        <v>1509</v>
      </c>
      <c r="H1273" t="str">
        <f t="shared" si="110"/>
        <v>mtaraconat</v>
      </c>
      <c r="I1273" s="10" t="s">
        <v>694</v>
      </c>
      <c r="J1273" s="13">
        <v>104551</v>
      </c>
      <c r="K1273" s="10" t="s">
        <v>693</v>
      </c>
      <c r="L1273" s="10" t="s">
        <v>18</v>
      </c>
      <c r="N1273" s="10" t="s">
        <v>712</v>
      </c>
      <c r="Q1273" t="str">
        <f t="shared" si="109"/>
        <v>104551mtaraconat</v>
      </c>
    </row>
    <row r="1274" spans="1:17" hidden="1" x14ac:dyDescent="0.4">
      <c r="A1274">
        <v>1510</v>
      </c>
      <c r="H1274" t="str">
        <f t="shared" si="110"/>
        <v>craynaudflavier</v>
      </c>
      <c r="I1274" s="10" t="s">
        <v>687</v>
      </c>
      <c r="J1274" s="13">
        <v>104551</v>
      </c>
      <c r="K1274" s="10" t="s">
        <v>688</v>
      </c>
      <c r="L1274" s="10" t="s">
        <v>18</v>
      </c>
      <c r="N1274" s="10" t="s">
        <v>712</v>
      </c>
      <c r="Q1274" t="str">
        <f t="shared" si="109"/>
        <v>104551craynaudflavier</v>
      </c>
    </row>
    <row r="1275" spans="1:17" hidden="1" x14ac:dyDescent="0.4">
      <c r="A1275">
        <v>1511</v>
      </c>
      <c r="H1275" t="str">
        <f t="shared" si="110"/>
        <v>eoniangueadamo</v>
      </c>
      <c r="I1275" s="10" t="s">
        <v>695</v>
      </c>
      <c r="J1275" s="13">
        <v>104551</v>
      </c>
      <c r="K1275" s="10" t="s">
        <v>696</v>
      </c>
      <c r="L1275" s="10" t="s">
        <v>18</v>
      </c>
      <c r="N1275" s="10" t="s">
        <v>712</v>
      </c>
      <c r="Q1275" t="str">
        <f t="shared" si="109"/>
        <v>104551eoniangueadamo</v>
      </c>
    </row>
    <row r="1276" spans="1:17" hidden="1" x14ac:dyDescent="0.4">
      <c r="A1276">
        <v>1512</v>
      </c>
      <c r="H1276" t="str">
        <f t="shared" si="110"/>
        <v>alhomme</v>
      </c>
      <c r="I1276" s="10" t="s">
        <v>23</v>
      </c>
      <c r="J1276" s="13">
        <v>104551</v>
      </c>
      <c r="K1276" s="10" t="s">
        <v>683</v>
      </c>
      <c r="L1276" s="10" t="s">
        <v>18</v>
      </c>
      <c r="N1276" s="10" t="s">
        <v>712</v>
      </c>
      <c r="Q1276" t="str">
        <f t="shared" si="109"/>
        <v>104551alhomme</v>
      </c>
    </row>
    <row r="1277" spans="1:17" hidden="1" x14ac:dyDescent="0.4">
      <c r="A1277">
        <v>1513</v>
      </c>
      <c r="H1277" t="str">
        <f t="shared" si="110"/>
        <v>cdelvalle</v>
      </c>
      <c r="I1277" s="10" t="s">
        <v>685</v>
      </c>
      <c r="J1277" s="13">
        <v>104551</v>
      </c>
      <c r="K1277" s="10" t="s">
        <v>686</v>
      </c>
      <c r="L1277" s="10" t="s">
        <v>18</v>
      </c>
      <c r="N1277" s="10" t="s">
        <v>712</v>
      </c>
      <c r="Q1277" t="str">
        <f t="shared" si="109"/>
        <v>104551cdelvalle</v>
      </c>
    </row>
    <row r="1278" spans="1:17" hidden="1" x14ac:dyDescent="0.4">
      <c r="A1278">
        <v>1514</v>
      </c>
      <c r="H1278" t="str">
        <f t="shared" si="110"/>
        <v>emarchal</v>
      </c>
      <c r="I1278" s="10" t="s">
        <v>660</v>
      </c>
      <c r="J1278" s="13">
        <v>104551</v>
      </c>
      <c r="K1278" s="10" t="s">
        <v>661</v>
      </c>
      <c r="L1278" s="10" t="s">
        <v>18</v>
      </c>
      <c r="N1278" s="10" t="s">
        <v>712</v>
      </c>
      <c r="Q1278" t="str">
        <f t="shared" si="109"/>
        <v>104551emarchal</v>
      </c>
    </row>
    <row r="1279" spans="1:17" hidden="1" x14ac:dyDescent="0.4">
      <c r="A1279">
        <v>1515</v>
      </c>
      <c r="H1279" t="str">
        <f t="shared" si="110"/>
        <v>enierigeraci</v>
      </c>
      <c r="I1279" s="10" t="s">
        <v>149</v>
      </c>
      <c r="J1279" s="13">
        <v>104551</v>
      </c>
      <c r="K1279" s="10" t="s">
        <v>697</v>
      </c>
      <c r="L1279" s="10" t="s">
        <v>18</v>
      </c>
      <c r="N1279" s="10" t="s">
        <v>712</v>
      </c>
      <c r="Q1279" t="str">
        <f t="shared" si="109"/>
        <v>104551enierigeraci</v>
      </c>
    </row>
    <row r="1280" spans="1:17" hidden="1" x14ac:dyDescent="0.4">
      <c r="A1280">
        <v>1516</v>
      </c>
      <c r="H1280" t="str">
        <f t="shared" si="110"/>
        <v>mdevalicourt</v>
      </c>
      <c r="I1280" s="10" t="s">
        <v>375</v>
      </c>
      <c r="J1280" s="13">
        <v>104551</v>
      </c>
      <c r="K1280" s="10" t="s">
        <v>698</v>
      </c>
      <c r="L1280" s="10" t="s">
        <v>18</v>
      </c>
      <c r="N1280" s="10" t="s">
        <v>712</v>
      </c>
      <c r="Q1280" t="str">
        <f t="shared" si="109"/>
        <v>104551mdevalicourt</v>
      </c>
    </row>
    <row r="1281" spans="1:17" hidden="1" x14ac:dyDescent="0.4">
      <c r="A1281">
        <v>1517</v>
      </c>
      <c r="H1281" t="str">
        <f t="shared" si="110"/>
        <v>mhenry</v>
      </c>
      <c r="I1281" s="10" t="s">
        <v>622</v>
      </c>
      <c r="J1281" s="13">
        <v>104551</v>
      </c>
      <c r="K1281" s="10" t="s">
        <v>233</v>
      </c>
      <c r="L1281" s="10" t="s">
        <v>18</v>
      </c>
      <c r="N1281" s="10" t="s">
        <v>712</v>
      </c>
      <c r="Q1281" t="str">
        <f t="shared" si="109"/>
        <v>104551mhenry</v>
      </c>
    </row>
    <row r="1282" spans="1:17" hidden="1" x14ac:dyDescent="0.4">
      <c r="A1282">
        <v>1518</v>
      </c>
      <c r="H1282" t="str">
        <f t="shared" si="110"/>
        <v>vbaptiste</v>
      </c>
      <c r="I1282" s="10" t="s">
        <v>662</v>
      </c>
      <c r="J1282" s="13">
        <v>104551</v>
      </c>
      <c r="K1282" s="10" t="s">
        <v>663</v>
      </c>
      <c r="L1282" s="10" t="s">
        <v>18</v>
      </c>
      <c r="N1282" s="10" t="s">
        <v>712</v>
      </c>
      <c r="Q1282" t="str">
        <f t="shared" si="109"/>
        <v>104551vbaptiste</v>
      </c>
    </row>
    <row r="1283" spans="1:17" hidden="1" x14ac:dyDescent="0.4">
      <c r="A1283">
        <v>1519</v>
      </c>
      <c r="H1283" t="str">
        <f t="shared" si="110"/>
        <v>pwang</v>
      </c>
      <c r="I1283" s="10" t="s">
        <v>644</v>
      </c>
      <c r="J1283" s="13">
        <v>104551</v>
      </c>
      <c r="K1283" s="10" t="s">
        <v>144</v>
      </c>
      <c r="L1283" s="10" t="s">
        <v>18</v>
      </c>
      <c r="N1283" s="10" t="s">
        <v>712</v>
      </c>
      <c r="Q1283" t="str">
        <f t="shared" si="109"/>
        <v>104551pwang</v>
      </c>
    </row>
    <row r="1284" spans="1:17" hidden="1" x14ac:dyDescent="0.4">
      <c r="A1284">
        <v>1520</v>
      </c>
      <c r="H1284" t="str">
        <f t="shared" si="110"/>
        <v>lnolot</v>
      </c>
      <c r="I1284" s="10" t="s">
        <v>632</v>
      </c>
      <c r="J1284" s="13">
        <v>104551</v>
      </c>
      <c r="K1284" s="10" t="s">
        <v>629</v>
      </c>
      <c r="L1284" s="10" t="s">
        <v>18</v>
      </c>
      <c r="N1284" s="10" t="s">
        <v>712</v>
      </c>
      <c r="Q1284" t="str">
        <f t="shared" si="109"/>
        <v>104551lnolot</v>
      </c>
    </row>
    <row r="1285" spans="1:17" hidden="1" x14ac:dyDescent="0.4">
      <c r="A1285">
        <v>1521</v>
      </c>
      <c r="H1285" t="str">
        <f t="shared" si="110"/>
        <v>hozenne</v>
      </c>
      <c r="I1285" s="10" t="s">
        <v>236</v>
      </c>
      <c r="J1285" s="13">
        <v>104855</v>
      </c>
      <c r="K1285" s="10" t="s">
        <v>237</v>
      </c>
      <c r="L1285" s="10" t="s">
        <v>18</v>
      </c>
      <c r="N1285" s="10" t="s">
        <v>712</v>
      </c>
      <c r="Q1285" t="str">
        <f t="shared" si="109"/>
        <v>104855hozenne</v>
      </c>
    </row>
    <row r="1286" spans="1:17" hidden="1" x14ac:dyDescent="0.4">
      <c r="A1286">
        <v>1522</v>
      </c>
      <c r="H1286" t="str">
        <f t="shared" si="110"/>
        <v>erodrigues</v>
      </c>
      <c r="I1286" s="10" t="s">
        <v>182</v>
      </c>
      <c r="J1286" s="13">
        <v>104855</v>
      </c>
      <c r="K1286" s="10" t="s">
        <v>183</v>
      </c>
      <c r="L1286" s="10" t="s">
        <v>18</v>
      </c>
      <c r="N1286" s="10" t="s">
        <v>712</v>
      </c>
      <c r="Q1286" t="str">
        <f t="shared" si="109"/>
        <v>104855erodrigues</v>
      </c>
    </row>
    <row r="1287" spans="1:17" hidden="1" x14ac:dyDescent="0.4">
      <c r="A1287">
        <v>1523</v>
      </c>
      <c r="H1287" t="str">
        <f t="shared" si="110"/>
        <v>jszulcbaptista</v>
      </c>
      <c r="I1287" s="10" t="s">
        <v>267</v>
      </c>
      <c r="J1287" s="13">
        <v>104855</v>
      </c>
      <c r="K1287" s="10" t="s">
        <v>641</v>
      </c>
      <c r="L1287" s="10" t="s">
        <v>18</v>
      </c>
      <c r="N1287" s="10" t="s">
        <v>712</v>
      </c>
      <c r="Q1287" t="str">
        <f t="shared" si="109"/>
        <v>104855jszulcbaptista</v>
      </c>
    </row>
    <row r="1288" spans="1:17" hidden="1" x14ac:dyDescent="0.4">
      <c r="A1288">
        <v>1524</v>
      </c>
      <c r="H1288" t="str">
        <f t="shared" si="110"/>
        <v>eoniangueadamo</v>
      </c>
      <c r="I1288" s="10" t="s">
        <v>695</v>
      </c>
      <c r="J1288" s="13">
        <v>104855</v>
      </c>
      <c r="K1288" s="10" t="s">
        <v>696</v>
      </c>
      <c r="L1288" s="10" t="s">
        <v>18</v>
      </c>
      <c r="N1288" s="10" t="s">
        <v>712</v>
      </c>
      <c r="Q1288" t="str">
        <f t="shared" si="109"/>
        <v>104855eoniangueadamo</v>
      </c>
    </row>
    <row r="1289" spans="1:17" hidden="1" x14ac:dyDescent="0.4">
      <c r="A1289">
        <v>1525</v>
      </c>
      <c r="H1289" t="str">
        <f t="shared" si="110"/>
        <v>mribeyron</v>
      </c>
      <c r="I1289" s="10" t="s">
        <v>659</v>
      </c>
      <c r="J1289" s="13">
        <v>104855</v>
      </c>
      <c r="K1289" s="10" t="s">
        <v>658</v>
      </c>
      <c r="L1289" s="10" t="s">
        <v>18</v>
      </c>
      <c r="N1289" s="10" t="s">
        <v>712</v>
      </c>
      <c r="Q1289" t="str">
        <f t="shared" si="109"/>
        <v>104855mribeyron</v>
      </c>
    </row>
    <row r="1290" spans="1:17" hidden="1" x14ac:dyDescent="0.4">
      <c r="A1290">
        <v>1526</v>
      </c>
      <c r="H1290" t="str">
        <f t="shared" si="110"/>
        <v>craynaudflavier</v>
      </c>
      <c r="I1290" s="10" t="s">
        <v>687</v>
      </c>
      <c r="J1290" s="13">
        <v>104855</v>
      </c>
      <c r="K1290" s="10" t="s">
        <v>688</v>
      </c>
      <c r="L1290" s="10" t="s">
        <v>18</v>
      </c>
      <c r="N1290" s="10" t="s">
        <v>712</v>
      </c>
      <c r="Q1290" t="str">
        <f t="shared" si="109"/>
        <v>104855craynaudflavier</v>
      </c>
    </row>
    <row r="1291" spans="1:17" hidden="1" x14ac:dyDescent="0.4">
      <c r="A1291">
        <v>1527</v>
      </c>
      <c r="H1291" t="str">
        <f t="shared" si="110"/>
        <v>lnolot</v>
      </c>
      <c r="I1291" s="10" t="s">
        <v>699</v>
      </c>
      <c r="J1291" s="13">
        <v>104855</v>
      </c>
      <c r="K1291" s="10" t="s">
        <v>629</v>
      </c>
      <c r="L1291" s="10" t="s">
        <v>18</v>
      </c>
      <c r="N1291" s="10" t="s">
        <v>712</v>
      </c>
      <c r="Q1291" t="str">
        <f t="shared" si="109"/>
        <v>104855lnolot</v>
      </c>
    </row>
    <row r="1292" spans="1:17" hidden="1" x14ac:dyDescent="0.4">
      <c r="A1292">
        <v>1528</v>
      </c>
      <c r="H1292" t="str">
        <f t="shared" si="110"/>
        <v>vbaptiste</v>
      </c>
      <c r="I1292" s="10" t="s">
        <v>662</v>
      </c>
      <c r="J1292" s="13">
        <v>104855</v>
      </c>
      <c r="K1292" s="10" t="s">
        <v>663</v>
      </c>
      <c r="L1292" s="10" t="s">
        <v>18</v>
      </c>
      <c r="N1292" s="10" t="s">
        <v>712</v>
      </c>
      <c r="Q1292" t="str">
        <f t="shared" si="109"/>
        <v>104855vbaptiste</v>
      </c>
    </row>
    <row r="1293" spans="1:17" hidden="1" x14ac:dyDescent="0.4">
      <c r="A1293">
        <v>1529</v>
      </c>
      <c r="H1293" t="str">
        <f t="shared" si="110"/>
        <v>vdieny</v>
      </c>
      <c r="I1293" s="10" t="s">
        <v>578</v>
      </c>
      <c r="J1293" s="13">
        <v>104855</v>
      </c>
      <c r="K1293" s="10" t="s">
        <v>584</v>
      </c>
      <c r="L1293" s="10" t="s">
        <v>18</v>
      </c>
      <c r="N1293" s="10" t="s">
        <v>712</v>
      </c>
      <c r="Q1293" t="str">
        <f t="shared" si="109"/>
        <v>104855vdieny</v>
      </c>
    </row>
    <row r="1294" spans="1:17" hidden="1" x14ac:dyDescent="0.4">
      <c r="A1294">
        <v>1530</v>
      </c>
      <c r="H1294" t="str">
        <f t="shared" si="110"/>
        <v>hjarry</v>
      </c>
      <c r="I1294" s="10" t="s">
        <v>228</v>
      </c>
      <c r="J1294" s="13">
        <v>104855</v>
      </c>
      <c r="K1294" s="10" t="s">
        <v>231</v>
      </c>
      <c r="L1294" s="10" t="s">
        <v>18</v>
      </c>
      <c r="N1294" s="10" t="s">
        <v>712</v>
      </c>
      <c r="Q1294" t="str">
        <f t="shared" si="109"/>
        <v>104855hjarry</v>
      </c>
    </row>
    <row r="1295" spans="1:17" hidden="1" x14ac:dyDescent="0.4">
      <c r="A1295">
        <v>1531</v>
      </c>
      <c r="H1295" t="str">
        <f t="shared" si="110"/>
        <v>ggemot</v>
      </c>
      <c r="I1295" s="10" t="s">
        <v>648</v>
      </c>
      <c r="J1295" s="13">
        <v>104855</v>
      </c>
      <c r="K1295" s="10" t="s">
        <v>646</v>
      </c>
      <c r="L1295" s="10" t="s">
        <v>18</v>
      </c>
      <c r="N1295" s="10" t="s">
        <v>712</v>
      </c>
      <c r="Q1295" t="str">
        <f t="shared" si="109"/>
        <v>104855ggemot</v>
      </c>
    </row>
    <row r="1296" spans="1:17" hidden="1" x14ac:dyDescent="0.4">
      <c r="A1296">
        <v>1532</v>
      </c>
      <c r="H1296" t="str">
        <f t="shared" si="110"/>
        <v>pwang</v>
      </c>
      <c r="I1296" s="10" t="s">
        <v>644</v>
      </c>
      <c r="J1296" s="13">
        <v>104855</v>
      </c>
      <c r="K1296" s="10" t="s">
        <v>144</v>
      </c>
      <c r="L1296" s="10" t="s">
        <v>18</v>
      </c>
      <c r="N1296" s="10" t="s">
        <v>712</v>
      </c>
      <c r="Q1296" t="str">
        <f t="shared" si="109"/>
        <v>104855pwang</v>
      </c>
    </row>
    <row r="1297" spans="1:17" hidden="1" x14ac:dyDescent="0.4">
      <c r="A1297">
        <v>1533</v>
      </c>
      <c r="H1297" t="str">
        <f t="shared" si="110"/>
        <v>mhenry</v>
      </c>
      <c r="I1297" s="10" t="s">
        <v>622</v>
      </c>
      <c r="J1297" s="13">
        <v>104855</v>
      </c>
      <c r="K1297" s="10" t="s">
        <v>233</v>
      </c>
      <c r="L1297" s="10" t="s">
        <v>18</v>
      </c>
      <c r="N1297" s="10" t="s">
        <v>712</v>
      </c>
      <c r="Q1297" t="str">
        <f t="shared" si="109"/>
        <v>104855mhenry</v>
      </c>
    </row>
    <row r="1298" spans="1:17" hidden="1" x14ac:dyDescent="0.4">
      <c r="A1298">
        <v>1534</v>
      </c>
      <c r="H1298" t="str">
        <f t="shared" si="110"/>
        <v>sschuurman</v>
      </c>
      <c r="I1298" s="10" t="s">
        <v>537</v>
      </c>
      <c r="J1298" s="13">
        <v>104855</v>
      </c>
      <c r="K1298" s="10" t="s">
        <v>538</v>
      </c>
      <c r="L1298" s="10" t="s">
        <v>18</v>
      </c>
      <c r="N1298" s="10" t="s">
        <v>712</v>
      </c>
      <c r="Q1298" t="str">
        <f t="shared" si="109"/>
        <v>104855sschuurman</v>
      </c>
    </row>
    <row r="1299" spans="1:17" hidden="1" x14ac:dyDescent="0.4">
      <c r="A1299">
        <v>1536</v>
      </c>
      <c r="H1299" t="str">
        <f t="shared" si="110"/>
        <v>hvieuxmaire</v>
      </c>
      <c r="I1299" s="10" t="s">
        <v>245</v>
      </c>
      <c r="J1299" s="13">
        <v>104855</v>
      </c>
      <c r="K1299" s="10" t="s">
        <v>246</v>
      </c>
      <c r="L1299" s="10" t="s">
        <v>18</v>
      </c>
      <c r="N1299" s="10" t="s">
        <v>712</v>
      </c>
      <c r="Q1299" t="str">
        <f t="shared" si="109"/>
        <v>104855hvieuxmaire</v>
      </c>
    </row>
    <row r="1300" spans="1:17" hidden="1" x14ac:dyDescent="0.4">
      <c r="A1300">
        <v>1537</v>
      </c>
      <c r="H1300" t="str">
        <f t="shared" si="110"/>
        <v>mplait</v>
      </c>
      <c r="I1300" s="10" t="s">
        <v>378</v>
      </c>
      <c r="J1300" s="13">
        <v>104855</v>
      </c>
      <c r="K1300" s="10" t="s">
        <v>390</v>
      </c>
      <c r="L1300" s="10" t="s">
        <v>18</v>
      </c>
      <c r="N1300" s="10" t="s">
        <v>712</v>
      </c>
      <c r="Q1300" t="str">
        <f t="shared" si="109"/>
        <v>104855mplait</v>
      </c>
    </row>
    <row r="1301" spans="1:17" hidden="1" x14ac:dyDescent="0.4">
      <c r="A1301">
        <v>1538</v>
      </c>
      <c r="H1301" t="str">
        <f t="shared" si="110"/>
        <v>jkhalifa</v>
      </c>
      <c r="I1301" s="10" t="s">
        <v>288</v>
      </c>
      <c r="J1301" s="13">
        <v>104855</v>
      </c>
      <c r="K1301" s="10" t="s">
        <v>289</v>
      </c>
      <c r="L1301" s="10" t="s">
        <v>18</v>
      </c>
      <c r="N1301" s="10" t="s">
        <v>712</v>
      </c>
      <c r="Q1301" t="str">
        <f t="shared" ref="Q1301:Q1338" si="111">J1301&amp;H1301</f>
        <v>104855jkhalifa</v>
      </c>
    </row>
    <row r="1302" spans="1:17" hidden="1" x14ac:dyDescent="0.4">
      <c r="A1302">
        <v>1539</v>
      </c>
      <c r="H1302" t="str">
        <f t="shared" si="110"/>
        <v>a</v>
      </c>
      <c r="I1302" s="10" t="s">
        <v>700</v>
      </c>
      <c r="J1302" s="13">
        <v>104855</v>
      </c>
      <c r="L1302" s="10" t="s">
        <v>18</v>
      </c>
      <c r="N1302" s="10" t="s">
        <v>712</v>
      </c>
      <c r="Q1302" t="str">
        <f t="shared" si="111"/>
        <v>104855a</v>
      </c>
    </row>
    <row r="1303" spans="1:17" hidden="1" x14ac:dyDescent="0.4">
      <c r="A1303">
        <v>1540</v>
      </c>
      <c r="H1303" t="str">
        <f t="shared" si="110"/>
        <v>shennequin</v>
      </c>
      <c r="I1303" s="10" t="s">
        <v>679</v>
      </c>
      <c r="J1303" s="13">
        <v>104959</v>
      </c>
      <c r="K1303" s="10" t="s">
        <v>680</v>
      </c>
      <c r="L1303" s="10" t="s">
        <v>18</v>
      </c>
      <c r="N1303" s="10" t="s">
        <v>712</v>
      </c>
      <c r="Q1303" t="str">
        <f t="shared" si="111"/>
        <v>104959shennequin</v>
      </c>
    </row>
    <row r="1304" spans="1:17" hidden="1" x14ac:dyDescent="0.4">
      <c r="A1304">
        <v>1541</v>
      </c>
      <c r="H1304" t="str">
        <f t="shared" si="110"/>
        <v>lmarinot</v>
      </c>
      <c r="I1304" s="10" t="s">
        <v>689</v>
      </c>
      <c r="J1304" s="13">
        <v>104959</v>
      </c>
      <c r="K1304" s="10" t="s">
        <v>690</v>
      </c>
      <c r="L1304" s="10" t="s">
        <v>18</v>
      </c>
      <c r="N1304" s="10" t="s">
        <v>712</v>
      </c>
      <c r="Q1304" t="str">
        <f t="shared" si="111"/>
        <v>104959lmarinot</v>
      </c>
    </row>
    <row r="1305" spans="1:17" hidden="1" x14ac:dyDescent="0.4">
      <c r="A1305">
        <v>1542</v>
      </c>
      <c r="H1305" t="str">
        <f t="shared" si="110"/>
        <v>jlerheim</v>
      </c>
      <c r="I1305" s="10" t="s">
        <v>674</v>
      </c>
      <c r="J1305" s="13">
        <v>104959</v>
      </c>
      <c r="K1305" s="10" t="s">
        <v>675</v>
      </c>
      <c r="L1305" s="10" t="s">
        <v>18</v>
      </c>
      <c r="N1305" s="10" t="s">
        <v>712</v>
      </c>
      <c r="Q1305" t="str">
        <f t="shared" si="111"/>
        <v>104959jlerheim</v>
      </c>
    </row>
    <row r="1306" spans="1:17" hidden="1" x14ac:dyDescent="0.4">
      <c r="A1306">
        <v>1543</v>
      </c>
      <c r="H1306" t="str">
        <f t="shared" si="110"/>
        <v>ndecreus</v>
      </c>
      <c r="I1306" s="10" t="s">
        <v>442</v>
      </c>
      <c r="J1306" s="13">
        <v>104959</v>
      </c>
      <c r="K1306" s="10" t="s">
        <v>701</v>
      </c>
      <c r="L1306" s="10" t="s">
        <v>18</v>
      </c>
      <c r="N1306" s="10" t="s">
        <v>712</v>
      </c>
      <c r="Q1306" t="str">
        <f t="shared" si="111"/>
        <v>104959ndecreus</v>
      </c>
    </row>
    <row r="1307" spans="1:17" hidden="1" x14ac:dyDescent="0.4">
      <c r="A1307">
        <v>1544</v>
      </c>
      <c r="H1307" t="str">
        <f t="shared" si="110"/>
        <v>mribeyron</v>
      </c>
      <c r="I1307" s="10" t="s">
        <v>659</v>
      </c>
      <c r="J1307" s="13">
        <v>104959</v>
      </c>
      <c r="K1307" s="10" t="s">
        <v>658</v>
      </c>
      <c r="L1307" s="10" t="s">
        <v>18</v>
      </c>
      <c r="N1307" s="10" t="s">
        <v>712</v>
      </c>
      <c r="Q1307" t="str">
        <f t="shared" si="111"/>
        <v>104959mribeyron</v>
      </c>
    </row>
    <row r="1308" spans="1:17" hidden="1" x14ac:dyDescent="0.4">
      <c r="A1308">
        <v>1546</v>
      </c>
      <c r="H1308" t="str">
        <f t="shared" si="110"/>
        <v>cdelvalle</v>
      </c>
      <c r="I1308" s="10" t="s">
        <v>685</v>
      </c>
      <c r="J1308" s="13">
        <v>104959</v>
      </c>
      <c r="K1308" s="10" t="s">
        <v>686</v>
      </c>
      <c r="L1308" s="10" t="s">
        <v>18</v>
      </c>
      <c r="N1308" s="10" t="s">
        <v>712</v>
      </c>
      <c r="Q1308" t="str">
        <f t="shared" si="111"/>
        <v>104959cdelvalle</v>
      </c>
    </row>
    <row r="1309" spans="1:17" hidden="1" x14ac:dyDescent="0.4">
      <c r="A1309">
        <v>1547</v>
      </c>
      <c r="H1309" t="str">
        <f t="shared" si="110"/>
        <v>mhenry</v>
      </c>
      <c r="I1309" s="10" t="s">
        <v>622</v>
      </c>
      <c r="J1309" s="13">
        <v>104959</v>
      </c>
      <c r="K1309" s="10" t="s">
        <v>233</v>
      </c>
      <c r="L1309" s="10" t="s">
        <v>18</v>
      </c>
      <c r="N1309" s="10" t="s">
        <v>712</v>
      </c>
      <c r="Q1309" t="str">
        <f t="shared" si="111"/>
        <v>104959mhenry</v>
      </c>
    </row>
    <row r="1310" spans="1:17" hidden="1" x14ac:dyDescent="0.4">
      <c r="A1310">
        <v>1548</v>
      </c>
      <c r="H1310" t="str">
        <f t="shared" si="110"/>
        <v>arajaobelina</v>
      </c>
      <c r="I1310" s="10" t="s">
        <v>691</v>
      </c>
      <c r="J1310" s="13">
        <v>104959</v>
      </c>
      <c r="K1310" s="10" t="s">
        <v>692</v>
      </c>
      <c r="L1310" s="10" t="s">
        <v>18</v>
      </c>
      <c r="N1310" s="10" t="s">
        <v>712</v>
      </c>
      <c r="Q1310" t="str">
        <f t="shared" si="111"/>
        <v>104959arajaobelina</v>
      </c>
    </row>
    <row r="1311" spans="1:17" hidden="1" x14ac:dyDescent="0.4">
      <c r="A1311">
        <v>1549</v>
      </c>
      <c r="H1311" t="str">
        <f t="shared" si="110"/>
        <v>emarchal</v>
      </c>
      <c r="I1311" s="10" t="s">
        <v>660</v>
      </c>
      <c r="J1311" s="13">
        <v>104959</v>
      </c>
      <c r="K1311" s="10" t="s">
        <v>661</v>
      </c>
      <c r="L1311" s="10" t="s">
        <v>18</v>
      </c>
      <c r="N1311" s="10" t="s">
        <v>712</v>
      </c>
      <c r="Q1311" t="str">
        <f t="shared" si="111"/>
        <v>104959emarchal</v>
      </c>
    </row>
    <row r="1312" spans="1:17" hidden="1" x14ac:dyDescent="0.4">
      <c r="A1312">
        <v>1550</v>
      </c>
      <c r="H1312" t="str">
        <f t="shared" ref="H1312:H1338" si="112">SUBSTITUTE(SUBSTITUTE(SUBSTITUTE(LOWER(LEFT(I1312,1) &amp; K1312)," ",""),"-",""),"é","e")</f>
        <v>jcasier</v>
      </c>
      <c r="I1312" s="10" t="s">
        <v>670</v>
      </c>
      <c r="J1312" s="13">
        <v>104959</v>
      </c>
      <c r="K1312" s="10" t="s">
        <v>671</v>
      </c>
      <c r="L1312" s="10" t="s">
        <v>18</v>
      </c>
      <c r="N1312" s="10" t="s">
        <v>712</v>
      </c>
      <c r="Q1312" t="str">
        <f t="shared" si="111"/>
        <v>104959jcasier</v>
      </c>
    </row>
    <row r="1313" spans="1:17" hidden="1" x14ac:dyDescent="0.4">
      <c r="A1313">
        <v>1551</v>
      </c>
      <c r="H1313" t="str">
        <f t="shared" si="112"/>
        <v>crossi</v>
      </c>
      <c r="I1313" s="10" t="s">
        <v>703</v>
      </c>
      <c r="J1313" s="13">
        <v>104959</v>
      </c>
      <c r="K1313" s="10" t="s">
        <v>702</v>
      </c>
      <c r="L1313" s="10" t="s">
        <v>18</v>
      </c>
      <c r="N1313" s="10" t="s">
        <v>712</v>
      </c>
      <c r="Q1313" t="str">
        <f t="shared" si="111"/>
        <v>104959crossi</v>
      </c>
    </row>
    <row r="1314" spans="1:17" hidden="1" x14ac:dyDescent="0.4">
      <c r="A1314">
        <v>1552</v>
      </c>
      <c r="H1314" t="str">
        <f t="shared" si="112"/>
        <v>enierigeraci</v>
      </c>
      <c r="I1314" s="10" t="s">
        <v>149</v>
      </c>
      <c r="J1314" s="13">
        <v>104959</v>
      </c>
      <c r="K1314" s="10" t="s">
        <v>697</v>
      </c>
      <c r="L1314" s="10" t="s">
        <v>18</v>
      </c>
      <c r="N1314" s="10" t="s">
        <v>712</v>
      </c>
      <c r="Q1314" t="str">
        <f t="shared" si="111"/>
        <v>104959enierigeraci</v>
      </c>
    </row>
    <row r="1315" spans="1:17" hidden="1" x14ac:dyDescent="0.4">
      <c r="A1315">
        <v>1553</v>
      </c>
      <c r="H1315" t="str">
        <f t="shared" si="112"/>
        <v>mplait</v>
      </c>
      <c r="I1315" s="10" t="s">
        <v>378</v>
      </c>
      <c r="J1315" s="13">
        <v>104959</v>
      </c>
      <c r="K1315" s="10" t="s">
        <v>390</v>
      </c>
      <c r="L1315" s="10" t="s">
        <v>18</v>
      </c>
      <c r="N1315" s="10" t="s">
        <v>712</v>
      </c>
      <c r="Q1315" t="str">
        <f t="shared" si="111"/>
        <v>104959mplait</v>
      </c>
    </row>
    <row r="1316" spans="1:17" hidden="1" x14ac:dyDescent="0.4">
      <c r="A1316">
        <v>1554</v>
      </c>
      <c r="H1316" t="str">
        <f t="shared" si="112"/>
        <v>sgiordano</v>
      </c>
      <c r="I1316" s="10" t="s">
        <v>666</v>
      </c>
      <c r="J1316" s="13">
        <v>104959</v>
      </c>
      <c r="K1316" s="10" t="s">
        <v>667</v>
      </c>
      <c r="L1316" s="10" t="s">
        <v>18</v>
      </c>
      <c r="N1316" s="10" t="s">
        <v>712</v>
      </c>
      <c r="Q1316" t="str">
        <f t="shared" si="111"/>
        <v>104959sgiordano</v>
      </c>
    </row>
    <row r="1317" spans="1:17" hidden="1" x14ac:dyDescent="0.4">
      <c r="A1317">
        <v>1555</v>
      </c>
      <c r="H1317" t="str">
        <f t="shared" si="112"/>
        <v>nguerlavas</v>
      </c>
      <c r="I1317" s="10" t="s">
        <v>442</v>
      </c>
      <c r="J1317" s="13">
        <v>104959</v>
      </c>
      <c r="K1317" s="10" t="s">
        <v>678</v>
      </c>
      <c r="L1317" s="10" t="s">
        <v>18</v>
      </c>
      <c r="N1317" s="10" t="s">
        <v>712</v>
      </c>
      <c r="Q1317" t="str">
        <f t="shared" si="111"/>
        <v>104959nguerlavas</v>
      </c>
    </row>
    <row r="1318" spans="1:17" hidden="1" x14ac:dyDescent="0.4">
      <c r="A1318">
        <v>1556</v>
      </c>
      <c r="H1318" t="str">
        <f t="shared" si="112"/>
        <v>craynaudflavier</v>
      </c>
      <c r="I1318" s="10" t="s">
        <v>687</v>
      </c>
      <c r="J1318" s="13">
        <v>104959</v>
      </c>
      <c r="K1318" s="10" t="s">
        <v>688</v>
      </c>
      <c r="L1318" s="10" t="s">
        <v>18</v>
      </c>
      <c r="N1318" s="10" t="s">
        <v>712</v>
      </c>
      <c r="Q1318" t="str">
        <f t="shared" si="111"/>
        <v>104959craynaudflavier</v>
      </c>
    </row>
    <row r="1319" spans="1:17" hidden="1" x14ac:dyDescent="0.4">
      <c r="A1319">
        <v>1557</v>
      </c>
      <c r="H1319" t="str">
        <f t="shared" si="112"/>
        <v>eoniangueadamo</v>
      </c>
      <c r="I1319" s="10" t="s">
        <v>695</v>
      </c>
      <c r="J1319" s="13">
        <v>104959</v>
      </c>
      <c r="K1319" s="10" t="s">
        <v>696</v>
      </c>
      <c r="L1319" s="10" t="s">
        <v>18</v>
      </c>
      <c r="N1319" s="10" t="s">
        <v>712</v>
      </c>
      <c r="Q1319" t="str">
        <f t="shared" si="111"/>
        <v>104959eoniangueadamo</v>
      </c>
    </row>
    <row r="1320" spans="1:17" hidden="1" x14ac:dyDescent="0.4">
      <c r="A1320">
        <v>1558</v>
      </c>
      <c r="H1320" t="str">
        <f t="shared" si="112"/>
        <v>igasparrodrigues</v>
      </c>
      <c r="I1320" s="10" t="s">
        <v>676</v>
      </c>
      <c r="J1320" s="13">
        <v>104959</v>
      </c>
      <c r="K1320" s="10" t="s">
        <v>677</v>
      </c>
      <c r="L1320" s="10" t="s">
        <v>18</v>
      </c>
      <c r="N1320" s="10" t="s">
        <v>712</v>
      </c>
      <c r="Q1320" t="str">
        <f t="shared" si="111"/>
        <v>104959igasparrodrigues</v>
      </c>
    </row>
    <row r="1321" spans="1:17" hidden="1" x14ac:dyDescent="0.4">
      <c r="A1321">
        <v>1560</v>
      </c>
      <c r="H1321" t="str">
        <f t="shared" si="112"/>
        <v>hozenne</v>
      </c>
      <c r="I1321" s="10" t="s">
        <v>236</v>
      </c>
      <c r="J1321" s="13">
        <v>104959</v>
      </c>
      <c r="K1321" s="10" t="s">
        <v>237</v>
      </c>
      <c r="L1321" s="10" t="s">
        <v>18</v>
      </c>
      <c r="N1321" s="10" t="s">
        <v>712</v>
      </c>
      <c r="Q1321" t="str">
        <f t="shared" si="111"/>
        <v>104959hozenne</v>
      </c>
    </row>
    <row r="1322" spans="1:17" hidden="1" x14ac:dyDescent="0.4">
      <c r="A1322">
        <v>1561</v>
      </c>
      <c r="H1322" t="str">
        <f t="shared" si="112"/>
        <v>rcorjon</v>
      </c>
      <c r="I1322" s="10" t="s">
        <v>503</v>
      </c>
      <c r="J1322" s="13">
        <v>104959</v>
      </c>
      <c r="K1322" s="10" t="s">
        <v>651</v>
      </c>
      <c r="L1322" s="10" t="s">
        <v>18</v>
      </c>
      <c r="N1322" s="10" t="s">
        <v>712</v>
      </c>
      <c r="Q1322" t="str">
        <f t="shared" si="111"/>
        <v>104959rcorjon</v>
      </c>
    </row>
    <row r="1323" spans="1:17" hidden="1" x14ac:dyDescent="0.4">
      <c r="A1323">
        <v>1562</v>
      </c>
      <c r="H1323" t="str">
        <f t="shared" si="112"/>
        <v>omakhloufi</v>
      </c>
      <c r="I1323" s="10" t="s">
        <v>668</v>
      </c>
      <c r="J1323" s="13">
        <v>104959</v>
      </c>
      <c r="K1323" s="10" t="s">
        <v>669</v>
      </c>
      <c r="L1323" s="10" t="s">
        <v>18</v>
      </c>
      <c r="N1323" s="10" t="s">
        <v>712</v>
      </c>
      <c r="Q1323" t="str">
        <f t="shared" si="111"/>
        <v>104959omakhloufi</v>
      </c>
    </row>
    <row r="1324" spans="1:17" hidden="1" x14ac:dyDescent="0.4">
      <c r="A1324">
        <v>1563</v>
      </c>
      <c r="H1324" t="str">
        <f t="shared" si="112"/>
        <v>ggemot</v>
      </c>
      <c r="I1324" s="10" t="s">
        <v>648</v>
      </c>
      <c r="J1324" s="13">
        <v>104959</v>
      </c>
      <c r="K1324" s="10" t="s">
        <v>646</v>
      </c>
      <c r="L1324" s="10" t="s">
        <v>18</v>
      </c>
      <c r="N1324" s="10" t="s">
        <v>712</v>
      </c>
      <c r="Q1324" t="str">
        <f t="shared" si="111"/>
        <v>104959ggemot</v>
      </c>
    </row>
    <row r="1325" spans="1:17" hidden="1" x14ac:dyDescent="0.4">
      <c r="A1325">
        <v>1564</v>
      </c>
      <c r="H1325" t="str">
        <f t="shared" si="112"/>
        <v>lnolot</v>
      </c>
      <c r="I1325" s="10" t="s">
        <v>632</v>
      </c>
      <c r="J1325" s="13">
        <v>104959</v>
      </c>
      <c r="K1325" s="10" t="s">
        <v>629</v>
      </c>
      <c r="L1325" s="10" t="s">
        <v>18</v>
      </c>
      <c r="N1325" s="10" t="s">
        <v>712</v>
      </c>
      <c r="Q1325" t="str">
        <f t="shared" si="111"/>
        <v>104959lnolot</v>
      </c>
    </row>
    <row r="1326" spans="1:17" hidden="1" x14ac:dyDescent="0.4">
      <c r="A1326">
        <v>1565</v>
      </c>
      <c r="H1326" t="str">
        <f t="shared" si="112"/>
        <v>ldelaurent</v>
      </c>
      <c r="I1326" s="10" t="s">
        <v>704</v>
      </c>
      <c r="J1326" s="13">
        <v>104959</v>
      </c>
      <c r="K1326" s="10" t="s">
        <v>705</v>
      </c>
      <c r="L1326" s="10" t="s">
        <v>18</v>
      </c>
      <c r="N1326" s="10" t="s">
        <v>712</v>
      </c>
      <c r="Q1326" t="str">
        <f t="shared" si="111"/>
        <v>104959ldelaurent</v>
      </c>
    </row>
    <row r="1327" spans="1:17" hidden="1" x14ac:dyDescent="0.4">
      <c r="A1327">
        <v>1566</v>
      </c>
      <c r="H1327" t="str">
        <f t="shared" si="112"/>
        <v>alhomme</v>
      </c>
      <c r="I1327" s="10" t="s">
        <v>23</v>
      </c>
      <c r="J1327" s="13">
        <v>104959</v>
      </c>
      <c r="K1327" s="10" t="s">
        <v>683</v>
      </c>
      <c r="L1327" s="10" t="s">
        <v>18</v>
      </c>
      <c r="N1327" s="10" t="s">
        <v>712</v>
      </c>
      <c r="Q1327" t="str">
        <f t="shared" si="111"/>
        <v>104959alhomme</v>
      </c>
    </row>
    <row r="1328" spans="1:17" hidden="1" x14ac:dyDescent="0.4">
      <c r="A1328">
        <v>1567</v>
      </c>
      <c r="H1328" t="str">
        <f t="shared" si="112"/>
        <v>mherouard</v>
      </c>
      <c r="I1328" s="10" t="s">
        <v>681</v>
      </c>
      <c r="J1328" s="13">
        <v>104959</v>
      </c>
      <c r="K1328" s="10" t="s">
        <v>682</v>
      </c>
      <c r="L1328" s="10" t="s">
        <v>18</v>
      </c>
      <c r="N1328" s="10" t="s">
        <v>712</v>
      </c>
      <c r="Q1328" t="str">
        <f t="shared" si="111"/>
        <v>104959mherouard</v>
      </c>
    </row>
    <row r="1329" spans="1:17" hidden="1" x14ac:dyDescent="0.4">
      <c r="A1329">
        <v>1568</v>
      </c>
      <c r="H1329" t="str">
        <f t="shared" si="112"/>
        <v>mfiorina</v>
      </c>
      <c r="I1329" s="10" t="s">
        <v>638</v>
      </c>
      <c r="J1329" s="13">
        <v>104959</v>
      </c>
      <c r="K1329" s="10" t="s">
        <v>636</v>
      </c>
      <c r="L1329" s="10" t="s">
        <v>18</v>
      </c>
      <c r="N1329" s="10" t="s">
        <v>712</v>
      </c>
      <c r="Q1329" t="str">
        <f t="shared" si="111"/>
        <v>104959mfiorina</v>
      </c>
    </row>
    <row r="1330" spans="1:17" hidden="1" x14ac:dyDescent="0.4">
      <c r="A1330">
        <v>1569</v>
      </c>
      <c r="H1330" t="str">
        <f t="shared" si="112"/>
        <v>nprotois</v>
      </c>
      <c r="I1330" s="10" t="s">
        <v>706</v>
      </c>
      <c r="J1330" s="13">
        <v>104959</v>
      </c>
      <c r="K1330" s="10" t="s">
        <v>707</v>
      </c>
      <c r="L1330" s="10" t="s">
        <v>18</v>
      </c>
      <c r="N1330" s="10" t="s">
        <v>712</v>
      </c>
      <c r="Q1330" t="str">
        <f t="shared" si="111"/>
        <v>104959nprotois</v>
      </c>
    </row>
    <row r="1331" spans="1:17" hidden="1" x14ac:dyDescent="0.4">
      <c r="A1331">
        <v>1570</v>
      </c>
      <c r="H1331" t="str">
        <f t="shared" si="112"/>
        <v>jhuang</v>
      </c>
      <c r="I1331" s="10" t="s">
        <v>285</v>
      </c>
      <c r="J1331" s="13">
        <v>104959</v>
      </c>
      <c r="K1331" s="10" t="s">
        <v>286</v>
      </c>
      <c r="L1331" s="10" t="s">
        <v>18</v>
      </c>
      <c r="N1331" s="10" t="s">
        <v>712</v>
      </c>
      <c r="Q1331" t="str">
        <f t="shared" si="111"/>
        <v>104959jhuang</v>
      </c>
    </row>
    <row r="1332" spans="1:17" hidden="1" x14ac:dyDescent="0.4">
      <c r="A1332">
        <v>1571</v>
      </c>
      <c r="H1332" t="str">
        <f t="shared" si="112"/>
        <v>jszulcbaptista</v>
      </c>
      <c r="I1332" s="10" t="s">
        <v>267</v>
      </c>
      <c r="J1332" s="13">
        <v>104959</v>
      </c>
      <c r="K1332" s="10" t="s">
        <v>641</v>
      </c>
      <c r="L1332" s="10" t="s">
        <v>18</v>
      </c>
      <c r="N1332" s="10" t="s">
        <v>712</v>
      </c>
      <c r="Q1332" t="str">
        <f t="shared" si="111"/>
        <v>104959jszulcbaptista</v>
      </c>
    </row>
    <row r="1333" spans="1:17" hidden="1" x14ac:dyDescent="0.4">
      <c r="A1333">
        <v>1572</v>
      </c>
      <c r="H1333" t="str">
        <f t="shared" si="112"/>
        <v>vbaptiste</v>
      </c>
      <c r="I1333" s="10" t="s">
        <v>662</v>
      </c>
      <c r="J1333" s="13">
        <v>104959</v>
      </c>
      <c r="K1333" s="10" t="s">
        <v>663</v>
      </c>
      <c r="L1333" s="10" t="s">
        <v>18</v>
      </c>
      <c r="N1333" s="10" t="s">
        <v>712</v>
      </c>
      <c r="Q1333" t="str">
        <f t="shared" si="111"/>
        <v>104959vbaptiste</v>
      </c>
    </row>
    <row r="1334" spans="1:17" hidden="1" x14ac:dyDescent="0.4">
      <c r="A1334">
        <v>1573</v>
      </c>
      <c r="H1334" t="str">
        <f t="shared" si="112"/>
        <v>mcattiaux</v>
      </c>
      <c r="I1334" s="10" t="s">
        <v>684</v>
      </c>
      <c r="J1334" s="13">
        <v>104959</v>
      </c>
      <c r="K1334" s="10" t="s">
        <v>657</v>
      </c>
      <c r="L1334" s="10" t="s">
        <v>18</v>
      </c>
      <c r="N1334" s="10" t="s">
        <v>712</v>
      </c>
      <c r="Q1334" t="str">
        <f t="shared" si="111"/>
        <v>104959mcattiaux</v>
      </c>
    </row>
    <row r="1335" spans="1:17" hidden="1" x14ac:dyDescent="0.4">
      <c r="A1335">
        <v>1575</v>
      </c>
      <c r="H1335" t="str">
        <f t="shared" si="112"/>
        <v>hjarry</v>
      </c>
      <c r="I1335" s="10" t="s">
        <v>228</v>
      </c>
      <c r="J1335" s="13">
        <v>104959</v>
      </c>
      <c r="K1335" s="10" t="s">
        <v>231</v>
      </c>
      <c r="L1335" s="10" t="s">
        <v>18</v>
      </c>
      <c r="N1335" s="10" t="s">
        <v>712</v>
      </c>
      <c r="Q1335" t="str">
        <f t="shared" si="111"/>
        <v>104959hjarry</v>
      </c>
    </row>
    <row r="1336" spans="1:17" hidden="1" x14ac:dyDescent="0.4">
      <c r="A1336">
        <v>1576</v>
      </c>
      <c r="H1336" t="str">
        <f t="shared" si="112"/>
        <v>vdieny</v>
      </c>
      <c r="I1336" s="10" t="s">
        <v>578</v>
      </c>
      <c r="J1336" s="13">
        <v>104959</v>
      </c>
      <c r="K1336" s="10" t="s">
        <v>584</v>
      </c>
      <c r="L1336" s="10" t="s">
        <v>18</v>
      </c>
      <c r="N1336" s="10" t="s">
        <v>712</v>
      </c>
      <c r="Q1336" t="str">
        <f t="shared" si="111"/>
        <v>104959vdieny</v>
      </c>
    </row>
    <row r="1337" spans="1:17" hidden="1" x14ac:dyDescent="0.4">
      <c r="A1337">
        <v>1578</v>
      </c>
      <c r="H1337" t="str">
        <f t="shared" si="112"/>
        <v>pwang</v>
      </c>
      <c r="I1337" s="10" t="s">
        <v>644</v>
      </c>
      <c r="J1337" s="13">
        <v>104959</v>
      </c>
      <c r="K1337" s="10" t="s">
        <v>708</v>
      </c>
      <c r="L1337" s="10" t="s">
        <v>18</v>
      </c>
      <c r="N1337" s="10" t="s">
        <v>712</v>
      </c>
      <c r="Q1337" t="str">
        <f t="shared" si="111"/>
        <v>104959pwang</v>
      </c>
    </row>
    <row r="1338" spans="1:17" hidden="1" x14ac:dyDescent="0.4">
      <c r="A1338">
        <v>1579</v>
      </c>
      <c r="H1338" t="str">
        <f t="shared" si="112"/>
        <v>jkhalifa</v>
      </c>
      <c r="I1338" s="10" t="s">
        <v>288</v>
      </c>
      <c r="J1338" s="13">
        <v>104959</v>
      </c>
      <c r="K1338" s="10" t="s">
        <v>289</v>
      </c>
      <c r="L1338" s="10" t="s">
        <v>18</v>
      </c>
      <c r="N1338" s="10" t="s">
        <v>712</v>
      </c>
      <c r="Q1338" t="str">
        <f t="shared" si="111"/>
        <v>104959jkhalifa</v>
      </c>
    </row>
  </sheetData>
  <sheetProtection formatCells="0" formatColumns="0" formatRows="0" insertColumns="0" insertRows="0" insertHyperlinks="0" deleteColumns="0" deleteRows="0" sort="0" autoFilter="0" pivotTables="0"/>
  <autoFilter ref="A1:Q1338" xr:uid="{00000000-0001-0000-0000-000000000000}">
    <filterColumn colId="7">
      <filters>
        <filter val="mmetzger"/>
      </filters>
    </filterColumn>
  </autoFilter>
  <conditionalFormatting sqref="Q1:Q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97B5-4C7C-4A9D-9485-3E23433383E8}">
  <dimension ref="A1:M288"/>
  <sheetViews>
    <sheetView tabSelected="1" workbookViewId="0">
      <selection activeCell="G8" sqref="G8"/>
    </sheetView>
  </sheetViews>
  <sheetFormatPr baseColWidth="10" defaultRowHeight="14.6" x14ac:dyDescent="0.4"/>
  <cols>
    <col min="2" max="2" width="24.3046875" customWidth="1"/>
    <col min="3" max="3" width="11.07421875" customWidth="1"/>
    <col min="4" max="4" width="10.921875" customWidth="1"/>
    <col min="5" max="5" width="18.23046875" customWidth="1"/>
  </cols>
  <sheetData>
    <row r="1" spans="1:13" x14ac:dyDescent="0.4">
      <c r="A1" s="10" t="s">
        <v>709</v>
      </c>
      <c r="B1" s="10" t="s">
        <v>758</v>
      </c>
      <c r="C1" s="10" t="s">
        <v>759</v>
      </c>
      <c r="D1" s="10" t="s">
        <v>760</v>
      </c>
      <c r="E1" s="10" t="s">
        <v>761</v>
      </c>
      <c r="I1" s="36"/>
      <c r="J1" s="37"/>
      <c r="K1" s="37"/>
      <c r="L1" s="37"/>
      <c r="M1" s="37"/>
    </row>
    <row r="2" spans="1:13" x14ac:dyDescent="0.4">
      <c r="A2" s="20" t="s">
        <v>710</v>
      </c>
      <c r="B2" t="str">
        <f>IF(Synthese!O38,Synthese!G38,"")</f>
        <v>aberson</v>
      </c>
      <c r="D2" t="str">
        <f>IF(B2&lt;&gt;"","VALIDATE","")</f>
        <v>VALIDATE</v>
      </c>
      <c r="I2" s="38"/>
      <c r="J2" s="39"/>
      <c r="K2" s="40"/>
      <c r="L2" s="40"/>
      <c r="M2" s="40"/>
    </row>
    <row r="3" spans="1:13" x14ac:dyDescent="0.4">
      <c r="A3" s="20" t="s">
        <v>710</v>
      </c>
      <c r="B3" t="str">
        <f>IF(Synthese!O39,Synthese!G39,"")</f>
        <v>abich</v>
      </c>
      <c r="D3" t="str">
        <f t="shared" ref="D3:D66" si="0">IF(B3&lt;&gt;"","VALIDATE","")</f>
        <v>VALIDATE</v>
      </c>
      <c r="I3" s="38"/>
      <c r="J3" s="39"/>
      <c r="K3" s="40"/>
      <c r="L3" s="40"/>
      <c r="M3" s="40"/>
    </row>
    <row r="4" spans="1:13" x14ac:dyDescent="0.4">
      <c r="A4" s="20" t="s">
        <v>710</v>
      </c>
      <c r="B4" t="str">
        <f>IF(Synthese!O40,Synthese!G40,"")</f>
        <v/>
      </c>
      <c r="D4" t="str">
        <f t="shared" si="0"/>
        <v/>
      </c>
    </row>
    <row r="5" spans="1:13" x14ac:dyDescent="0.4">
      <c r="A5" s="20" t="s">
        <v>710</v>
      </c>
      <c r="B5" t="str">
        <f>IF(Synthese!O41,Synthese!G41,"")</f>
        <v>acarde</v>
      </c>
      <c r="D5" t="str">
        <f t="shared" si="0"/>
        <v>VALIDATE</v>
      </c>
    </row>
    <row r="6" spans="1:13" x14ac:dyDescent="0.4">
      <c r="A6" s="20" t="s">
        <v>710</v>
      </c>
      <c r="B6" t="str">
        <f>IF(Synthese!O42,Synthese!G42,"")</f>
        <v>achristophe1</v>
      </c>
      <c r="D6" t="str">
        <f t="shared" si="0"/>
        <v>VALIDATE</v>
      </c>
    </row>
    <row r="7" spans="1:13" x14ac:dyDescent="0.4">
      <c r="A7" s="20" t="s">
        <v>710</v>
      </c>
      <c r="B7" t="str">
        <f>IF(Synthese!O43,Synthese!G43,"")</f>
        <v>adecaens</v>
      </c>
      <c r="D7" t="str">
        <f t="shared" si="0"/>
        <v>VALIDATE</v>
      </c>
    </row>
    <row r="8" spans="1:13" x14ac:dyDescent="0.4">
      <c r="A8" s="20" t="s">
        <v>710</v>
      </c>
      <c r="B8" t="str">
        <f>IF(Synthese!O44,Synthese!G44,"")</f>
        <v>adelhoume</v>
      </c>
      <c r="D8" t="str">
        <f t="shared" si="0"/>
        <v>VALIDATE</v>
      </c>
    </row>
    <row r="9" spans="1:13" x14ac:dyDescent="0.4">
      <c r="A9" s="20" t="s">
        <v>710</v>
      </c>
      <c r="B9" t="str">
        <f>IF(Synthese!O45,Synthese!G45,"")</f>
        <v>adorlandepolignac</v>
      </c>
      <c r="D9" t="str">
        <f t="shared" si="0"/>
        <v>VALIDATE</v>
      </c>
    </row>
    <row r="10" spans="1:13" x14ac:dyDescent="0.4">
      <c r="A10" s="20" t="s">
        <v>710</v>
      </c>
      <c r="B10" t="str">
        <f>IF(Synthese!O46,Synthese!G46,"")</f>
        <v>aeorthmannreichenbach</v>
      </c>
      <c r="D10" t="str">
        <f t="shared" si="0"/>
        <v>VALIDATE</v>
      </c>
    </row>
    <row r="11" spans="1:13" x14ac:dyDescent="0.4">
      <c r="A11" s="20" t="s">
        <v>710</v>
      </c>
      <c r="B11" t="str">
        <f>IF(Synthese!O47,Synthese!G47,"")</f>
        <v>aesmaeilzadeh</v>
      </c>
      <c r="D11" t="str">
        <f t="shared" si="0"/>
        <v>VALIDATE</v>
      </c>
    </row>
    <row r="12" spans="1:13" x14ac:dyDescent="0.4">
      <c r="A12" s="20" t="s">
        <v>710</v>
      </c>
      <c r="B12" t="str">
        <f>IF(Synthese!O48,Synthese!G48,"")</f>
        <v/>
      </c>
      <c r="D12" t="str">
        <f t="shared" si="0"/>
        <v/>
      </c>
    </row>
    <row r="13" spans="1:13" x14ac:dyDescent="0.4">
      <c r="A13" s="20" t="s">
        <v>710</v>
      </c>
      <c r="B13" t="str">
        <f>IF(Synthese!O49,Synthese!G49,"")</f>
        <v/>
      </c>
      <c r="D13" t="str">
        <f t="shared" si="0"/>
        <v/>
      </c>
    </row>
    <row r="14" spans="1:13" x14ac:dyDescent="0.4">
      <c r="A14" s="20" t="s">
        <v>710</v>
      </c>
      <c r="B14" t="str">
        <f>IF(Synthese!O50,Synthese!G50,"")</f>
        <v>agross1</v>
      </c>
      <c r="D14" t="str">
        <f t="shared" si="0"/>
        <v>VALIDATE</v>
      </c>
    </row>
    <row r="15" spans="1:13" x14ac:dyDescent="0.4">
      <c r="A15" s="20" t="s">
        <v>710</v>
      </c>
      <c r="B15" t="str">
        <f>IF(Synthese!O51,Synthese!G51,"")</f>
        <v>aguyduche</v>
      </c>
      <c r="D15" t="str">
        <f t="shared" si="0"/>
        <v>VALIDATE</v>
      </c>
    </row>
    <row r="16" spans="1:13" x14ac:dyDescent="0.4">
      <c r="A16" s="20" t="s">
        <v>710</v>
      </c>
      <c r="B16" t="str">
        <f>IF(Synthese!O52,Synthese!G52,"")</f>
        <v>ahuerta</v>
      </c>
      <c r="D16" t="str">
        <f t="shared" si="0"/>
        <v>VALIDATE</v>
      </c>
    </row>
    <row r="17" spans="1:4" x14ac:dyDescent="0.4">
      <c r="A17" s="20" t="s">
        <v>710</v>
      </c>
      <c r="B17" t="str">
        <f>IF(Synthese!O53,Synthese!G53,"")</f>
        <v>ajeannot</v>
      </c>
      <c r="D17" t="str">
        <f t="shared" si="0"/>
        <v>VALIDATE</v>
      </c>
    </row>
    <row r="18" spans="1:4" x14ac:dyDescent="0.4">
      <c r="A18" s="20" t="s">
        <v>710</v>
      </c>
      <c r="B18" t="str">
        <f>IF(Synthese!O54,Synthese!G54,"")</f>
        <v>akerouanton</v>
      </c>
      <c r="D18" t="str">
        <f t="shared" si="0"/>
        <v>VALIDATE</v>
      </c>
    </row>
    <row r="19" spans="1:4" x14ac:dyDescent="0.4">
      <c r="A19" s="20" t="s">
        <v>710</v>
      </c>
      <c r="B19" t="str">
        <f>IF(Synthese!O55,Synthese!G55,"")</f>
        <v/>
      </c>
      <c r="D19" t="str">
        <f t="shared" si="0"/>
        <v/>
      </c>
    </row>
    <row r="20" spans="1:4" x14ac:dyDescent="0.4">
      <c r="A20" s="20" t="s">
        <v>710</v>
      </c>
      <c r="B20" t="str">
        <f>IF(Synthese!O56,Synthese!G56,"")</f>
        <v>alvgalichet</v>
      </c>
      <c r="D20" t="str">
        <f t="shared" si="0"/>
        <v>VALIDATE</v>
      </c>
    </row>
    <row r="21" spans="1:4" x14ac:dyDescent="0.4">
      <c r="A21" s="20" t="s">
        <v>710</v>
      </c>
      <c r="B21" t="str">
        <f>IF(Synthese!O57,Synthese!G57,"")</f>
        <v>amansart</v>
      </c>
      <c r="D21" t="str">
        <f t="shared" si="0"/>
        <v>VALIDATE</v>
      </c>
    </row>
    <row r="22" spans="1:4" x14ac:dyDescent="0.4">
      <c r="A22" s="20" t="s">
        <v>710</v>
      </c>
      <c r="B22" t="str">
        <f>IF(Synthese!O58,Synthese!G58,"")</f>
        <v>amoen</v>
      </c>
      <c r="D22" t="str">
        <f t="shared" si="0"/>
        <v>VALIDATE</v>
      </c>
    </row>
    <row r="23" spans="1:4" x14ac:dyDescent="0.4">
      <c r="A23" s="20" t="s">
        <v>710</v>
      </c>
      <c r="B23" t="str">
        <f>IF(Synthese!O59,Synthese!G59,"")</f>
        <v>amoreira1</v>
      </c>
      <c r="D23" t="str">
        <f t="shared" si="0"/>
        <v>VALIDATE</v>
      </c>
    </row>
    <row r="24" spans="1:4" x14ac:dyDescent="0.4">
      <c r="A24" s="20" t="s">
        <v>710</v>
      </c>
      <c r="B24" t="str">
        <f>IF(Synthese!O60,Synthese!G60,"")</f>
        <v>anantois</v>
      </c>
      <c r="D24" t="str">
        <f t="shared" si="0"/>
        <v>VALIDATE</v>
      </c>
    </row>
    <row r="25" spans="1:4" x14ac:dyDescent="0.4">
      <c r="A25" s="20" t="s">
        <v>710</v>
      </c>
      <c r="B25" t="str">
        <f>IF(Synthese!O61,Synthese!G61,"")</f>
        <v/>
      </c>
      <c r="D25" t="str">
        <f t="shared" si="0"/>
        <v/>
      </c>
    </row>
    <row r="26" spans="1:4" x14ac:dyDescent="0.4">
      <c r="A26" s="20" t="s">
        <v>710</v>
      </c>
      <c r="B26" t="str">
        <f>IF(Synthese!O62,Synthese!G62,"")</f>
        <v>apesnel</v>
      </c>
      <c r="D26" t="str">
        <f t="shared" si="0"/>
        <v>VALIDATE</v>
      </c>
    </row>
    <row r="27" spans="1:4" x14ac:dyDescent="0.4">
      <c r="A27" s="20" t="s">
        <v>710</v>
      </c>
      <c r="B27" t="str">
        <f>IF(Synthese!O63,Synthese!G63,"")</f>
        <v>apichard</v>
      </c>
      <c r="D27" t="str">
        <f t="shared" si="0"/>
        <v>VALIDATE</v>
      </c>
    </row>
    <row r="28" spans="1:4" x14ac:dyDescent="0.4">
      <c r="A28" s="20" t="s">
        <v>710</v>
      </c>
      <c r="B28" t="str">
        <f>IF(Synthese!O64,Synthese!G64,"")</f>
        <v/>
      </c>
      <c r="D28" t="str">
        <f t="shared" si="0"/>
        <v/>
      </c>
    </row>
    <row r="29" spans="1:4" x14ac:dyDescent="0.4">
      <c r="A29" s="20" t="s">
        <v>710</v>
      </c>
      <c r="B29" t="str">
        <f>IF(Synthese!O65,Synthese!G65,"")</f>
        <v/>
      </c>
      <c r="D29" t="str">
        <f t="shared" si="0"/>
        <v/>
      </c>
    </row>
    <row r="30" spans="1:4" x14ac:dyDescent="0.4">
      <c r="A30" s="20" t="s">
        <v>710</v>
      </c>
      <c r="B30" t="str">
        <f>IF(Synthese!O66,Synthese!G66,"")</f>
        <v>arauline</v>
      </c>
      <c r="D30" t="str">
        <f t="shared" si="0"/>
        <v>VALIDATE</v>
      </c>
    </row>
    <row r="31" spans="1:4" x14ac:dyDescent="0.4">
      <c r="A31" s="20" t="s">
        <v>710</v>
      </c>
      <c r="B31" t="str">
        <f>IF(Synthese!O67,Synthese!G67,"")</f>
        <v>athevenin</v>
      </c>
      <c r="D31" t="str">
        <f t="shared" si="0"/>
        <v>VALIDATE</v>
      </c>
    </row>
    <row r="32" spans="1:4" x14ac:dyDescent="0.4">
      <c r="A32" s="20" t="s">
        <v>710</v>
      </c>
      <c r="B32" t="str">
        <f>IF(Synthese!O68,Synthese!G68,"")</f>
        <v/>
      </c>
      <c r="D32" t="str">
        <f t="shared" si="0"/>
        <v/>
      </c>
    </row>
    <row r="33" spans="1:4" x14ac:dyDescent="0.4">
      <c r="A33" s="20" t="s">
        <v>710</v>
      </c>
      <c r="B33" t="str">
        <f>IF(Synthese!O69,Synthese!G69,"")</f>
        <v/>
      </c>
      <c r="D33" t="str">
        <f t="shared" si="0"/>
        <v/>
      </c>
    </row>
    <row r="34" spans="1:4" x14ac:dyDescent="0.4">
      <c r="A34" s="20" t="s">
        <v>710</v>
      </c>
      <c r="B34" t="str">
        <f>IF(Synthese!O70,Synthese!G70,"")</f>
        <v>cbrunet</v>
      </c>
      <c r="D34" t="str">
        <f t="shared" si="0"/>
        <v>VALIDATE</v>
      </c>
    </row>
    <row r="35" spans="1:4" x14ac:dyDescent="0.4">
      <c r="A35" s="20" t="s">
        <v>710</v>
      </c>
      <c r="B35" t="str">
        <f>IF(Synthese!O71,Synthese!G71,"")</f>
        <v>ccoppola</v>
      </c>
      <c r="D35" t="str">
        <f t="shared" si="0"/>
        <v>VALIDATE</v>
      </c>
    </row>
    <row r="36" spans="1:4" x14ac:dyDescent="0.4">
      <c r="A36" s="20" t="s">
        <v>710</v>
      </c>
      <c r="B36" t="str">
        <f>IF(Synthese!O72,Synthese!G72,"")</f>
        <v/>
      </c>
      <c r="D36" t="str">
        <f t="shared" si="0"/>
        <v/>
      </c>
    </row>
    <row r="37" spans="1:4" x14ac:dyDescent="0.4">
      <c r="A37" s="20" t="s">
        <v>710</v>
      </c>
      <c r="B37" t="str">
        <f>IF(Synthese!O73,Synthese!G73,"")</f>
        <v>cmellardi</v>
      </c>
      <c r="D37" t="str">
        <f t="shared" si="0"/>
        <v>VALIDATE</v>
      </c>
    </row>
    <row r="38" spans="1:4" x14ac:dyDescent="0.4">
      <c r="A38" s="20" t="s">
        <v>710</v>
      </c>
      <c r="B38" t="str">
        <f>IF(Synthese!O74,Synthese!G74,"")</f>
        <v/>
      </c>
      <c r="D38" t="str">
        <f t="shared" si="0"/>
        <v/>
      </c>
    </row>
    <row r="39" spans="1:4" x14ac:dyDescent="0.4">
      <c r="A39" s="20" t="s">
        <v>710</v>
      </c>
      <c r="B39" t="str">
        <f>IF(Synthese!O75,Synthese!G75,"")</f>
        <v/>
      </c>
      <c r="D39" t="str">
        <f t="shared" si="0"/>
        <v/>
      </c>
    </row>
    <row r="40" spans="1:4" x14ac:dyDescent="0.4">
      <c r="A40" s="20" t="s">
        <v>710</v>
      </c>
      <c r="B40" t="str">
        <f>IF(Synthese!O76,Synthese!G76,"")</f>
        <v/>
      </c>
      <c r="D40" t="str">
        <f t="shared" si="0"/>
        <v/>
      </c>
    </row>
    <row r="41" spans="1:4" x14ac:dyDescent="0.4">
      <c r="A41" s="20" t="s">
        <v>710</v>
      </c>
      <c r="B41" t="str">
        <f>IF(Synthese!O77,Synthese!G77,"")</f>
        <v>croszak</v>
      </c>
      <c r="D41" t="str">
        <f t="shared" si="0"/>
        <v>VALIDATE</v>
      </c>
    </row>
    <row r="42" spans="1:4" x14ac:dyDescent="0.4">
      <c r="A42" s="20" t="s">
        <v>710</v>
      </c>
      <c r="B42" t="str">
        <f>IF(Synthese!O78,Synthese!G78,"")</f>
        <v/>
      </c>
      <c r="D42" t="str">
        <f t="shared" si="0"/>
        <v/>
      </c>
    </row>
    <row r="43" spans="1:4" x14ac:dyDescent="0.4">
      <c r="A43" s="20" t="s">
        <v>710</v>
      </c>
      <c r="B43" t="str">
        <f>IF(Synthese!O79,Synthese!G79,"")</f>
        <v/>
      </c>
      <c r="D43" t="str">
        <f t="shared" si="0"/>
        <v/>
      </c>
    </row>
    <row r="44" spans="1:4" x14ac:dyDescent="0.4">
      <c r="A44" s="20" t="s">
        <v>710</v>
      </c>
      <c r="B44" t="str">
        <f>IF(Synthese!O80,Synthese!G80,"")</f>
        <v>ctallet1</v>
      </c>
      <c r="D44" t="str">
        <f t="shared" si="0"/>
        <v>VALIDATE</v>
      </c>
    </row>
    <row r="45" spans="1:4" x14ac:dyDescent="0.4">
      <c r="A45" s="20" t="s">
        <v>710</v>
      </c>
      <c r="B45" t="str">
        <f>IF(Synthese!O81,Synthese!G81,"")</f>
        <v>ctissus</v>
      </c>
      <c r="D45" t="str">
        <f t="shared" si="0"/>
        <v>VALIDATE</v>
      </c>
    </row>
    <row r="46" spans="1:4" x14ac:dyDescent="0.4">
      <c r="A46" s="20" t="s">
        <v>710</v>
      </c>
      <c r="B46" t="str">
        <f>IF(Synthese!O82,Synthese!G82,"")</f>
        <v/>
      </c>
      <c r="D46" t="str">
        <f t="shared" si="0"/>
        <v/>
      </c>
    </row>
    <row r="47" spans="1:4" x14ac:dyDescent="0.4">
      <c r="A47" s="20" t="s">
        <v>710</v>
      </c>
      <c r="B47" t="str">
        <f>IF(Synthese!O83,Synthese!G83,"")</f>
        <v>dbondetdelabernardie</v>
      </c>
      <c r="D47" t="str">
        <f t="shared" si="0"/>
        <v>VALIDATE</v>
      </c>
    </row>
    <row r="48" spans="1:4" x14ac:dyDescent="0.4">
      <c r="A48" s="20" t="s">
        <v>710</v>
      </c>
      <c r="B48" t="str">
        <f>IF(Synthese!O84,Synthese!G84,"")</f>
        <v/>
      </c>
      <c r="D48" t="str">
        <f t="shared" si="0"/>
        <v/>
      </c>
    </row>
    <row r="49" spans="1:4" x14ac:dyDescent="0.4">
      <c r="A49" s="20" t="s">
        <v>710</v>
      </c>
      <c r="B49" t="str">
        <f>IF(Synthese!O85,Synthese!G85,"")</f>
        <v>dchoisi</v>
      </c>
      <c r="D49" t="str">
        <f t="shared" si="0"/>
        <v>VALIDATE</v>
      </c>
    </row>
    <row r="50" spans="1:4" x14ac:dyDescent="0.4">
      <c r="A50" s="20" t="s">
        <v>710</v>
      </c>
      <c r="B50" t="str">
        <f>IF(Synthese!O86,Synthese!G86,"")</f>
        <v/>
      </c>
      <c r="D50" t="str">
        <f t="shared" si="0"/>
        <v/>
      </c>
    </row>
    <row r="51" spans="1:4" x14ac:dyDescent="0.4">
      <c r="A51" s="20" t="s">
        <v>710</v>
      </c>
      <c r="B51" t="str">
        <f>IF(Synthese!O87,Synthese!G87,"")</f>
        <v/>
      </c>
      <c r="D51" t="str">
        <f t="shared" si="0"/>
        <v/>
      </c>
    </row>
    <row r="52" spans="1:4" x14ac:dyDescent="0.4">
      <c r="A52" s="20" t="s">
        <v>710</v>
      </c>
      <c r="B52" t="str">
        <f>IF(Synthese!O88,Synthese!G88,"")</f>
        <v/>
      </c>
      <c r="D52" t="str">
        <f t="shared" si="0"/>
        <v/>
      </c>
    </row>
    <row r="53" spans="1:4" x14ac:dyDescent="0.4">
      <c r="A53" s="20" t="s">
        <v>710</v>
      </c>
      <c r="B53" t="str">
        <f>IF(Synthese!O89,Synthese!G89,"")</f>
        <v>dwang</v>
      </c>
      <c r="D53" t="str">
        <f t="shared" si="0"/>
        <v>VALIDATE</v>
      </c>
    </row>
    <row r="54" spans="1:4" x14ac:dyDescent="0.4">
      <c r="A54" s="20" t="s">
        <v>710</v>
      </c>
      <c r="B54" t="str">
        <f>IF(Synthese!O90,Synthese!G90,"")</f>
        <v/>
      </c>
      <c r="D54" t="str">
        <f t="shared" si="0"/>
        <v/>
      </c>
    </row>
    <row r="55" spans="1:4" x14ac:dyDescent="0.4">
      <c r="A55" s="20" t="s">
        <v>710</v>
      </c>
      <c r="B55" t="str">
        <f>IF(Synthese!O91,Synthese!G91,"")</f>
        <v/>
      </c>
      <c r="D55" t="str">
        <f t="shared" si="0"/>
        <v/>
      </c>
    </row>
    <row r="56" spans="1:4" x14ac:dyDescent="0.4">
      <c r="A56" s="20" t="s">
        <v>710</v>
      </c>
      <c r="B56" t="str">
        <f>IF(Synthese!O92,Synthese!G92,"")</f>
        <v/>
      </c>
      <c r="D56" t="str">
        <f t="shared" si="0"/>
        <v/>
      </c>
    </row>
    <row r="57" spans="1:4" x14ac:dyDescent="0.4">
      <c r="A57" s="20" t="s">
        <v>710</v>
      </c>
      <c r="B57" t="str">
        <f>IF(Synthese!O93,Synthese!G93,"")</f>
        <v/>
      </c>
      <c r="D57" t="str">
        <f t="shared" si="0"/>
        <v/>
      </c>
    </row>
    <row r="58" spans="1:4" x14ac:dyDescent="0.4">
      <c r="A58" s="20" t="s">
        <v>710</v>
      </c>
      <c r="B58" t="str">
        <f>IF(Synthese!O94,Synthese!G94,"")</f>
        <v>ehetzel</v>
      </c>
      <c r="D58" t="str">
        <f t="shared" si="0"/>
        <v>VALIDATE</v>
      </c>
    </row>
    <row r="59" spans="1:4" x14ac:dyDescent="0.4">
      <c r="A59" s="20" t="s">
        <v>710</v>
      </c>
      <c r="B59" t="str">
        <f>IF(Synthese!O95,Synthese!G95,"")</f>
        <v/>
      </c>
      <c r="D59" t="str">
        <f t="shared" si="0"/>
        <v/>
      </c>
    </row>
    <row r="60" spans="1:4" x14ac:dyDescent="0.4">
      <c r="A60" s="20" t="s">
        <v>710</v>
      </c>
      <c r="B60" t="str">
        <f>IF(Synthese!O96,Synthese!G96,"")</f>
        <v>eleroux</v>
      </c>
      <c r="D60" t="str">
        <f t="shared" si="0"/>
        <v>VALIDATE</v>
      </c>
    </row>
    <row r="61" spans="1:4" x14ac:dyDescent="0.4">
      <c r="A61" s="20" t="s">
        <v>710</v>
      </c>
      <c r="B61" t="str">
        <f>IF(Synthese!O97,Synthese!G97,"")</f>
        <v/>
      </c>
      <c r="D61" t="str">
        <f t="shared" si="0"/>
        <v/>
      </c>
    </row>
    <row r="62" spans="1:4" x14ac:dyDescent="0.4">
      <c r="A62" s="20" t="s">
        <v>710</v>
      </c>
      <c r="B62" t="str">
        <f>IF(Synthese!O98,Synthese!G98,"")</f>
        <v/>
      </c>
      <c r="D62" t="str">
        <f t="shared" si="0"/>
        <v/>
      </c>
    </row>
    <row r="63" spans="1:4" x14ac:dyDescent="0.4">
      <c r="A63" s="20" t="s">
        <v>710</v>
      </c>
      <c r="B63" t="str">
        <f>IF(Synthese!O99,Synthese!G99,"")</f>
        <v>emeens</v>
      </c>
      <c r="D63" t="str">
        <f t="shared" si="0"/>
        <v>VALIDATE</v>
      </c>
    </row>
    <row r="64" spans="1:4" x14ac:dyDescent="0.4">
      <c r="A64" s="20" t="s">
        <v>710</v>
      </c>
      <c r="B64" t="str">
        <f>IF(Synthese!O100,Synthese!G100,"")</f>
        <v/>
      </c>
      <c r="D64" t="str">
        <f t="shared" si="0"/>
        <v/>
      </c>
    </row>
    <row r="65" spans="1:4" x14ac:dyDescent="0.4">
      <c r="A65" s="20" t="s">
        <v>710</v>
      </c>
      <c r="B65" t="str">
        <f>IF(Synthese!O101,Synthese!G101,"")</f>
        <v/>
      </c>
      <c r="D65" t="str">
        <f t="shared" si="0"/>
        <v/>
      </c>
    </row>
    <row r="66" spans="1:4" x14ac:dyDescent="0.4">
      <c r="A66" s="20" t="s">
        <v>710</v>
      </c>
      <c r="B66" t="str">
        <f>IF(Synthese!O102,Synthese!G102,"")</f>
        <v/>
      </c>
      <c r="D66" t="str">
        <f t="shared" si="0"/>
        <v/>
      </c>
    </row>
    <row r="67" spans="1:4" x14ac:dyDescent="0.4">
      <c r="A67" s="20" t="s">
        <v>710</v>
      </c>
      <c r="B67" t="str">
        <f>IF(Synthese!O103,Synthese!G103,"")</f>
        <v>erall</v>
      </c>
      <c r="D67" t="str">
        <f t="shared" ref="D67:D130" si="1">IF(B67&lt;&gt;"","VALIDATE","")</f>
        <v>VALIDATE</v>
      </c>
    </row>
    <row r="68" spans="1:4" x14ac:dyDescent="0.4">
      <c r="A68" s="20" t="s">
        <v>710</v>
      </c>
      <c r="B68" t="str">
        <f>IF(Synthese!O104,Synthese!G104,"")</f>
        <v>erebuschi</v>
      </c>
      <c r="D68" t="str">
        <f t="shared" si="1"/>
        <v>VALIDATE</v>
      </c>
    </row>
    <row r="69" spans="1:4" x14ac:dyDescent="0.4">
      <c r="A69" s="20" t="s">
        <v>710</v>
      </c>
      <c r="B69" t="str">
        <f>IF(Synthese!O105,Synthese!G105,"")</f>
        <v/>
      </c>
      <c r="D69" t="str">
        <f t="shared" si="1"/>
        <v/>
      </c>
    </row>
    <row r="70" spans="1:4" x14ac:dyDescent="0.4">
      <c r="A70" s="20" t="s">
        <v>710</v>
      </c>
      <c r="B70" t="str">
        <f>IF(Synthese!O106,Synthese!G106,"")</f>
        <v>erodrigues</v>
      </c>
      <c r="D70" t="str">
        <f t="shared" si="1"/>
        <v>VALIDATE</v>
      </c>
    </row>
    <row r="71" spans="1:4" x14ac:dyDescent="0.4">
      <c r="A71" s="20" t="s">
        <v>710</v>
      </c>
      <c r="B71" t="str">
        <f>IF(Synthese!O107,Synthese!G107,"")</f>
        <v>esezestre</v>
      </c>
      <c r="D71" t="str">
        <f t="shared" si="1"/>
        <v>VALIDATE</v>
      </c>
    </row>
    <row r="72" spans="1:4" x14ac:dyDescent="0.4">
      <c r="A72" s="20" t="s">
        <v>710</v>
      </c>
      <c r="B72" t="str">
        <f>IF(Synthese!O108,Synthese!G108,"")</f>
        <v/>
      </c>
      <c r="D72" t="str">
        <f t="shared" si="1"/>
        <v/>
      </c>
    </row>
    <row r="73" spans="1:4" x14ac:dyDescent="0.4">
      <c r="A73" s="20" t="s">
        <v>710</v>
      </c>
      <c r="B73" t="str">
        <f>IF(Synthese!O109,Synthese!G109,"")</f>
        <v>fcantau</v>
      </c>
      <c r="D73" t="str">
        <f t="shared" si="1"/>
        <v>VALIDATE</v>
      </c>
    </row>
    <row r="74" spans="1:4" x14ac:dyDescent="0.4">
      <c r="A74" s="20" t="s">
        <v>710</v>
      </c>
      <c r="B74" t="str">
        <f>IF(Synthese!O110,Synthese!G110,"")</f>
        <v>fcasatilewandowski</v>
      </c>
      <c r="D74" t="str">
        <f t="shared" si="1"/>
        <v>VALIDATE</v>
      </c>
    </row>
    <row r="75" spans="1:4" x14ac:dyDescent="0.4">
      <c r="A75" s="20" t="s">
        <v>710</v>
      </c>
      <c r="B75" t="str">
        <f>IF(Synthese!O111,Synthese!G111,"")</f>
        <v>fcusmir</v>
      </c>
      <c r="D75" t="str">
        <f t="shared" si="1"/>
        <v>VALIDATE</v>
      </c>
    </row>
    <row r="76" spans="1:4" x14ac:dyDescent="0.4">
      <c r="A76" s="20" t="s">
        <v>710</v>
      </c>
      <c r="B76" t="str">
        <f>IF(Synthese!O112,Synthese!G112,"")</f>
        <v/>
      </c>
      <c r="D76" t="str">
        <f t="shared" si="1"/>
        <v/>
      </c>
    </row>
    <row r="77" spans="1:4" x14ac:dyDescent="0.4">
      <c r="A77" s="20" t="s">
        <v>710</v>
      </c>
      <c r="B77" t="str">
        <f>IF(Synthese!O113,Synthese!G113,"")</f>
        <v/>
      </c>
      <c r="D77" t="str">
        <f t="shared" si="1"/>
        <v/>
      </c>
    </row>
    <row r="78" spans="1:4" x14ac:dyDescent="0.4">
      <c r="A78" s="20" t="s">
        <v>710</v>
      </c>
      <c r="B78" t="str">
        <f>IF(Synthese!O114,Synthese!G114,"")</f>
        <v>fmoisseron</v>
      </c>
      <c r="D78" t="str">
        <f t="shared" si="1"/>
        <v>VALIDATE</v>
      </c>
    </row>
    <row r="79" spans="1:4" x14ac:dyDescent="0.4">
      <c r="A79" s="20" t="s">
        <v>710</v>
      </c>
      <c r="B79" t="str">
        <f>IF(Synthese!O115,Synthese!G115,"")</f>
        <v>fprat</v>
      </c>
      <c r="D79" t="str">
        <f t="shared" si="1"/>
        <v>VALIDATE</v>
      </c>
    </row>
    <row r="80" spans="1:4" x14ac:dyDescent="0.4">
      <c r="A80" s="20" t="s">
        <v>710</v>
      </c>
      <c r="B80" t="str">
        <f>IF(Synthese!O116,Synthese!G116,"")</f>
        <v>gbaltardive</v>
      </c>
      <c r="D80" t="str">
        <f t="shared" si="1"/>
        <v>VALIDATE</v>
      </c>
    </row>
    <row r="81" spans="1:4" x14ac:dyDescent="0.4">
      <c r="A81" s="20" t="s">
        <v>710</v>
      </c>
      <c r="B81" t="str">
        <f>IF(Synthese!O117,Synthese!G117,"")</f>
        <v>gdelattre</v>
      </c>
      <c r="D81" t="str">
        <f t="shared" si="1"/>
        <v>VALIDATE</v>
      </c>
    </row>
    <row r="82" spans="1:4" x14ac:dyDescent="0.4">
      <c r="A82" s="20" t="s">
        <v>710</v>
      </c>
      <c r="B82" t="str">
        <f>IF(Synthese!O118,Synthese!G118,"")</f>
        <v>ggabel</v>
      </c>
      <c r="D82" t="str">
        <f t="shared" si="1"/>
        <v>VALIDATE</v>
      </c>
    </row>
    <row r="83" spans="1:4" x14ac:dyDescent="0.4">
      <c r="A83" s="20" t="s">
        <v>710</v>
      </c>
      <c r="B83" t="str">
        <f>IF(Synthese!O119,Synthese!G119,"")</f>
        <v/>
      </c>
      <c r="D83" t="str">
        <f t="shared" si="1"/>
        <v/>
      </c>
    </row>
    <row r="84" spans="1:4" x14ac:dyDescent="0.4">
      <c r="A84" s="20" t="s">
        <v>710</v>
      </c>
      <c r="B84" t="str">
        <f>IF(Synthese!O120,Synthese!G120,"")</f>
        <v>gnguyen</v>
      </c>
      <c r="D84" t="str">
        <f t="shared" si="1"/>
        <v>VALIDATE</v>
      </c>
    </row>
    <row r="85" spans="1:4" x14ac:dyDescent="0.4">
      <c r="A85" s="20" t="s">
        <v>710</v>
      </c>
      <c r="B85" t="str">
        <f>IF(Synthese!O121,Synthese!G121,"")</f>
        <v/>
      </c>
      <c r="D85" t="str">
        <f t="shared" si="1"/>
        <v/>
      </c>
    </row>
    <row r="86" spans="1:4" x14ac:dyDescent="0.4">
      <c r="A86" s="20" t="s">
        <v>710</v>
      </c>
      <c r="B86" t="str">
        <f>IF(Synthese!O122,Synthese!G122,"")</f>
        <v>gvandenbroucque</v>
      </c>
      <c r="D86" t="str">
        <f t="shared" si="1"/>
        <v>VALIDATE</v>
      </c>
    </row>
    <row r="87" spans="1:4" x14ac:dyDescent="0.4">
      <c r="A87" s="20" t="s">
        <v>710</v>
      </c>
      <c r="B87" t="str">
        <f>IF(Synthese!O123,Synthese!G123,"")</f>
        <v>gwelcker</v>
      </c>
      <c r="D87" t="str">
        <f t="shared" si="1"/>
        <v>VALIDATE</v>
      </c>
    </row>
    <row r="88" spans="1:4" x14ac:dyDescent="0.4">
      <c r="A88" s="20" t="s">
        <v>710</v>
      </c>
      <c r="B88" t="str">
        <f>IF(Synthese!O124,Synthese!G124,"")</f>
        <v>hhernout</v>
      </c>
      <c r="D88" t="str">
        <f t="shared" si="1"/>
        <v>VALIDATE</v>
      </c>
    </row>
    <row r="89" spans="1:4" x14ac:dyDescent="0.4">
      <c r="A89" s="20" t="s">
        <v>710</v>
      </c>
      <c r="B89" t="str">
        <f>IF(Synthese!O125,Synthese!G125,"")</f>
        <v>hjarry</v>
      </c>
      <c r="D89" t="str">
        <f t="shared" si="1"/>
        <v>VALIDATE</v>
      </c>
    </row>
    <row r="90" spans="1:4" x14ac:dyDescent="0.4">
      <c r="A90" s="20" t="s">
        <v>710</v>
      </c>
      <c r="B90" t="str">
        <f>IF(Synthese!O126,Synthese!G126,"")</f>
        <v>hjoly</v>
      </c>
      <c r="D90" t="str">
        <f t="shared" si="1"/>
        <v>VALIDATE</v>
      </c>
    </row>
    <row r="91" spans="1:4" x14ac:dyDescent="0.4">
      <c r="A91" s="20" t="s">
        <v>710</v>
      </c>
      <c r="B91" t="str">
        <f>IF(Synthese!O127,Synthese!G127,"")</f>
        <v>hozenne</v>
      </c>
      <c r="D91" t="str">
        <f t="shared" si="1"/>
        <v>VALIDATE</v>
      </c>
    </row>
    <row r="92" spans="1:4" x14ac:dyDescent="0.4">
      <c r="A92" s="20" t="s">
        <v>710</v>
      </c>
      <c r="B92" t="str">
        <f>IF(Synthese!O128,Synthese!G128,"")</f>
        <v>hsato</v>
      </c>
      <c r="D92" t="str">
        <f t="shared" si="1"/>
        <v>VALIDATE</v>
      </c>
    </row>
    <row r="93" spans="1:4" x14ac:dyDescent="0.4">
      <c r="A93" s="20" t="s">
        <v>710</v>
      </c>
      <c r="B93" t="str">
        <f>IF(Synthese!O129,Synthese!G129,"")</f>
        <v>htaguchi</v>
      </c>
      <c r="D93" t="str">
        <f t="shared" si="1"/>
        <v>VALIDATE</v>
      </c>
    </row>
    <row r="94" spans="1:4" x14ac:dyDescent="0.4">
      <c r="A94" s="20" t="s">
        <v>710</v>
      </c>
      <c r="B94" t="str">
        <f>IF(Synthese!O130,Synthese!G130,"")</f>
        <v>hvieuxmaire</v>
      </c>
      <c r="D94" t="str">
        <f t="shared" si="1"/>
        <v>VALIDATE</v>
      </c>
    </row>
    <row r="95" spans="1:4" x14ac:dyDescent="0.4">
      <c r="A95" s="20" t="s">
        <v>710</v>
      </c>
      <c r="B95" t="str">
        <f>IF(Synthese!O131,Synthese!G131,"")</f>
        <v>hye</v>
      </c>
      <c r="D95" t="str">
        <f t="shared" si="1"/>
        <v>VALIDATE</v>
      </c>
    </row>
    <row r="96" spans="1:4" x14ac:dyDescent="0.4">
      <c r="A96" s="20" t="s">
        <v>710</v>
      </c>
      <c r="B96" t="str">
        <f>IF(Synthese!O132,Synthese!G132,"")</f>
        <v/>
      </c>
      <c r="D96" t="str">
        <f t="shared" si="1"/>
        <v/>
      </c>
    </row>
    <row r="97" spans="1:4" x14ac:dyDescent="0.4">
      <c r="A97" s="20" t="s">
        <v>710</v>
      </c>
      <c r="B97" t="str">
        <f>IF(Synthese!O133,Synthese!G133,"")</f>
        <v/>
      </c>
      <c r="D97" t="str">
        <f t="shared" si="1"/>
        <v/>
      </c>
    </row>
    <row r="98" spans="1:4" x14ac:dyDescent="0.4">
      <c r="A98" s="20" t="s">
        <v>710</v>
      </c>
      <c r="B98" t="str">
        <f>IF(Synthese!O134,Synthese!G134,"")</f>
        <v>ivalem</v>
      </c>
      <c r="D98" t="str">
        <f t="shared" si="1"/>
        <v>VALIDATE</v>
      </c>
    </row>
    <row r="99" spans="1:4" x14ac:dyDescent="0.4">
      <c r="A99" s="20" t="s">
        <v>710</v>
      </c>
      <c r="B99" t="str">
        <f>IF(Synthese!O135,Synthese!G135,"")</f>
        <v/>
      </c>
      <c r="D99" t="str">
        <f t="shared" si="1"/>
        <v/>
      </c>
    </row>
    <row r="100" spans="1:4" x14ac:dyDescent="0.4">
      <c r="A100" s="20" t="s">
        <v>710</v>
      </c>
      <c r="B100" t="str">
        <f>IF(Synthese!O136,Synthese!G136,"")</f>
        <v>jbarretfontealba</v>
      </c>
      <c r="D100" t="str">
        <f t="shared" si="1"/>
        <v>VALIDATE</v>
      </c>
    </row>
    <row r="101" spans="1:4" x14ac:dyDescent="0.4">
      <c r="A101" s="20" t="s">
        <v>710</v>
      </c>
      <c r="B101" t="str">
        <f>IF(Synthese!O137,Synthese!G137,"")</f>
        <v>jbbatoge</v>
      </c>
      <c r="D101" t="str">
        <f t="shared" si="1"/>
        <v>VALIDATE</v>
      </c>
    </row>
    <row r="102" spans="1:4" x14ac:dyDescent="0.4">
      <c r="A102" s="20" t="s">
        <v>710</v>
      </c>
      <c r="B102" t="str">
        <f>IF(Synthese!O138,Synthese!G138,"")</f>
        <v>jblemoine</v>
      </c>
      <c r="D102" t="str">
        <f t="shared" si="1"/>
        <v>VALIDATE</v>
      </c>
    </row>
    <row r="103" spans="1:4" x14ac:dyDescent="0.4">
      <c r="A103" s="20" t="s">
        <v>710</v>
      </c>
      <c r="B103" t="str">
        <f>IF(Synthese!O139,Synthese!G139,"")</f>
        <v/>
      </c>
      <c r="D103" t="str">
        <f t="shared" si="1"/>
        <v/>
      </c>
    </row>
    <row r="104" spans="1:4" x14ac:dyDescent="0.4">
      <c r="A104" s="20" t="s">
        <v>710</v>
      </c>
      <c r="B104" t="str">
        <f>IF(Synthese!O140,Synthese!G140,"")</f>
        <v>jce</v>
      </c>
      <c r="D104" t="str">
        <f t="shared" si="1"/>
        <v>VALIDATE</v>
      </c>
    </row>
    <row r="105" spans="1:4" x14ac:dyDescent="0.4">
      <c r="A105" s="20" t="s">
        <v>710</v>
      </c>
      <c r="B105" t="str">
        <f>IF(Synthese!O141,Synthese!G141,"")</f>
        <v/>
      </c>
      <c r="D105" t="str">
        <f t="shared" si="1"/>
        <v/>
      </c>
    </row>
    <row r="106" spans="1:4" x14ac:dyDescent="0.4">
      <c r="A106" s="20" t="s">
        <v>710</v>
      </c>
      <c r="B106" t="str">
        <f>IF(Synthese!O142,Synthese!G142,"")</f>
        <v>jdoursout</v>
      </c>
      <c r="D106" t="str">
        <f t="shared" si="1"/>
        <v>VALIDATE</v>
      </c>
    </row>
    <row r="107" spans="1:4" x14ac:dyDescent="0.4">
      <c r="A107" s="20" t="s">
        <v>710</v>
      </c>
      <c r="B107" t="str">
        <f>IF(Synthese!O143,Synthese!G143,"")</f>
        <v>jdu</v>
      </c>
      <c r="D107" t="str">
        <f t="shared" si="1"/>
        <v>VALIDATE</v>
      </c>
    </row>
    <row r="108" spans="1:4" x14ac:dyDescent="0.4">
      <c r="A108" s="20" t="s">
        <v>710</v>
      </c>
      <c r="B108" t="str">
        <f>IF(Synthese!O144,Synthese!G144,"")</f>
        <v/>
      </c>
      <c r="D108" t="str">
        <f t="shared" si="1"/>
        <v/>
      </c>
    </row>
    <row r="109" spans="1:4" x14ac:dyDescent="0.4">
      <c r="A109" s="20" t="s">
        <v>710</v>
      </c>
      <c r="B109" t="str">
        <f>IF(Synthese!O145,Synthese!G145,"")</f>
        <v/>
      </c>
      <c r="D109" t="str">
        <f t="shared" si="1"/>
        <v/>
      </c>
    </row>
    <row r="110" spans="1:4" x14ac:dyDescent="0.4">
      <c r="A110" s="20" t="s">
        <v>710</v>
      </c>
      <c r="B110" t="str">
        <f>IF(Synthese!O146,Synthese!G146,"")</f>
        <v/>
      </c>
      <c r="D110" t="str">
        <f t="shared" si="1"/>
        <v/>
      </c>
    </row>
    <row r="111" spans="1:4" x14ac:dyDescent="0.4">
      <c r="A111" s="20" t="s">
        <v>710</v>
      </c>
      <c r="B111" t="str">
        <f>IF(Synthese!O147,Synthese!G147,"")</f>
        <v>jhuang1</v>
      </c>
      <c r="D111" t="str">
        <f t="shared" si="1"/>
        <v>VALIDATE</v>
      </c>
    </row>
    <row r="112" spans="1:4" x14ac:dyDescent="0.4">
      <c r="A112" s="20" t="s">
        <v>710</v>
      </c>
      <c r="B112" t="str">
        <f>IF(Synthese!O148,Synthese!G148,"")</f>
        <v/>
      </c>
      <c r="D112" t="str">
        <f t="shared" si="1"/>
        <v/>
      </c>
    </row>
    <row r="113" spans="1:4" x14ac:dyDescent="0.4">
      <c r="A113" s="20" t="s">
        <v>710</v>
      </c>
      <c r="B113" t="str">
        <f>IF(Synthese!O149,Synthese!G149,"")</f>
        <v/>
      </c>
      <c r="D113" t="str">
        <f t="shared" si="1"/>
        <v/>
      </c>
    </row>
    <row r="114" spans="1:4" x14ac:dyDescent="0.4">
      <c r="A114" s="20" t="s">
        <v>710</v>
      </c>
      <c r="B114" t="str">
        <f>IF(Synthese!O150,Synthese!G150,"")</f>
        <v/>
      </c>
      <c r="D114" t="str">
        <f t="shared" si="1"/>
        <v/>
      </c>
    </row>
    <row r="115" spans="1:4" x14ac:dyDescent="0.4">
      <c r="A115" s="20" t="s">
        <v>710</v>
      </c>
      <c r="B115" t="str">
        <f>IF(Synthese!O151,Synthese!G151,"")</f>
        <v/>
      </c>
      <c r="D115" t="str">
        <f t="shared" si="1"/>
        <v/>
      </c>
    </row>
    <row r="116" spans="1:4" x14ac:dyDescent="0.4">
      <c r="A116" s="20" t="s">
        <v>710</v>
      </c>
      <c r="B116" t="str">
        <f>IF(Synthese!O152,Synthese!G152,"")</f>
        <v>jpoumes</v>
      </c>
      <c r="D116" t="str">
        <f t="shared" si="1"/>
        <v>VALIDATE</v>
      </c>
    </row>
    <row r="117" spans="1:4" x14ac:dyDescent="0.4">
      <c r="A117" s="20" t="s">
        <v>710</v>
      </c>
      <c r="B117" t="str">
        <f>IF(Synthese!O153,Synthese!G153,"")</f>
        <v/>
      </c>
      <c r="D117" t="str">
        <f t="shared" si="1"/>
        <v/>
      </c>
    </row>
    <row r="118" spans="1:4" x14ac:dyDescent="0.4">
      <c r="A118" s="20" t="s">
        <v>710</v>
      </c>
      <c r="B118" t="str">
        <f>IF(Synthese!O154,Synthese!G154,"")</f>
        <v/>
      </c>
      <c r="D118" t="str">
        <f t="shared" si="1"/>
        <v/>
      </c>
    </row>
    <row r="119" spans="1:4" x14ac:dyDescent="0.4">
      <c r="A119" s="20" t="s">
        <v>710</v>
      </c>
      <c r="B119" t="str">
        <f>IF(Synthese!O155,Synthese!G155,"")</f>
        <v>khtnguyen</v>
      </c>
      <c r="D119" t="str">
        <f t="shared" si="1"/>
        <v>VALIDATE</v>
      </c>
    </row>
    <row r="120" spans="1:4" x14ac:dyDescent="0.4">
      <c r="A120" s="20" t="s">
        <v>710</v>
      </c>
      <c r="B120" t="str">
        <f>IF(Synthese!O156,Synthese!G156,"")</f>
        <v>knajerahoubiers</v>
      </c>
      <c r="D120" t="str">
        <f t="shared" si="1"/>
        <v>VALIDATE</v>
      </c>
    </row>
    <row r="121" spans="1:4" x14ac:dyDescent="0.4">
      <c r="A121" s="20" t="s">
        <v>710</v>
      </c>
      <c r="B121" t="str">
        <f>IF(Synthese!O157,Synthese!G157,"")</f>
        <v/>
      </c>
      <c r="D121" t="str">
        <f t="shared" si="1"/>
        <v/>
      </c>
    </row>
    <row r="122" spans="1:4" x14ac:dyDescent="0.4">
      <c r="A122" s="20" t="s">
        <v>710</v>
      </c>
      <c r="B122" t="str">
        <f>IF(Synthese!O158,Synthese!G158,"")</f>
        <v>lbelon</v>
      </c>
      <c r="D122" t="str">
        <f t="shared" si="1"/>
        <v>VALIDATE</v>
      </c>
    </row>
    <row r="123" spans="1:4" x14ac:dyDescent="0.4">
      <c r="A123" s="20" t="s">
        <v>710</v>
      </c>
      <c r="B123" t="str">
        <f>IF(Synthese!O159,Synthese!G159,"")</f>
        <v>lbischoff1</v>
      </c>
      <c r="D123" t="str">
        <f t="shared" si="1"/>
        <v>VALIDATE</v>
      </c>
    </row>
    <row r="124" spans="1:4" x14ac:dyDescent="0.4">
      <c r="A124" s="20" t="s">
        <v>710</v>
      </c>
      <c r="B124" t="str">
        <f>IF(Synthese!O160,Synthese!G160,"")</f>
        <v>lbressoux</v>
      </c>
      <c r="D124" t="str">
        <f t="shared" si="1"/>
        <v>VALIDATE</v>
      </c>
    </row>
    <row r="125" spans="1:4" x14ac:dyDescent="0.4">
      <c r="A125" s="20" t="s">
        <v>710</v>
      </c>
      <c r="B125" t="str">
        <f>IF(Synthese!O161,Synthese!G161,"")</f>
        <v/>
      </c>
      <c r="D125" t="str">
        <f t="shared" si="1"/>
        <v/>
      </c>
    </row>
    <row r="126" spans="1:4" x14ac:dyDescent="0.4">
      <c r="A126" s="20" t="s">
        <v>710</v>
      </c>
      <c r="B126" t="str">
        <f>IF(Synthese!O162,Synthese!G162,"")</f>
        <v/>
      </c>
      <c r="D126" t="str">
        <f t="shared" si="1"/>
        <v/>
      </c>
    </row>
    <row r="127" spans="1:4" x14ac:dyDescent="0.4">
      <c r="A127" s="20" t="s">
        <v>710</v>
      </c>
      <c r="B127" t="str">
        <f>IF(Synthese!O163,Synthese!G163,"")</f>
        <v>lexbrayat</v>
      </c>
      <c r="D127" t="str">
        <f t="shared" si="1"/>
        <v>VALIDATE</v>
      </c>
    </row>
    <row r="128" spans="1:4" x14ac:dyDescent="0.4">
      <c r="A128" s="20" t="s">
        <v>710</v>
      </c>
      <c r="B128" t="str">
        <f>IF(Synthese!O164,Synthese!G164,"")</f>
        <v>lguilleux</v>
      </c>
      <c r="D128" t="str">
        <f t="shared" si="1"/>
        <v>VALIDATE</v>
      </c>
    </row>
    <row r="129" spans="1:4" x14ac:dyDescent="0.4">
      <c r="A129" s="20" t="s">
        <v>710</v>
      </c>
      <c r="B129" t="str">
        <f>IF(Synthese!O165,Synthese!G165,"")</f>
        <v>llelayjardin</v>
      </c>
      <c r="D129" t="str">
        <f t="shared" si="1"/>
        <v>VALIDATE</v>
      </c>
    </row>
    <row r="130" spans="1:4" x14ac:dyDescent="0.4">
      <c r="A130" s="20" t="s">
        <v>710</v>
      </c>
      <c r="B130" t="str">
        <f>IF(Synthese!O166,Synthese!G166,"")</f>
        <v>lleneman</v>
      </c>
      <c r="D130" t="str">
        <f t="shared" si="1"/>
        <v>VALIDATE</v>
      </c>
    </row>
    <row r="131" spans="1:4" x14ac:dyDescent="0.4">
      <c r="A131" s="20" t="s">
        <v>710</v>
      </c>
      <c r="B131" t="str">
        <f>IF(Synthese!O167,Synthese!G167,"")</f>
        <v>lloube</v>
      </c>
      <c r="D131" t="str">
        <f t="shared" ref="D131:D167" si="2">IF(B131&lt;&gt;"","VALIDATE","")</f>
        <v>VALIDATE</v>
      </c>
    </row>
    <row r="132" spans="1:4" x14ac:dyDescent="0.4">
      <c r="A132" s="20" t="s">
        <v>710</v>
      </c>
      <c r="B132" t="str">
        <f>IF(Synthese!O168,Synthese!G168,"")</f>
        <v/>
      </c>
      <c r="D132" t="str">
        <f t="shared" si="2"/>
        <v/>
      </c>
    </row>
    <row r="133" spans="1:4" x14ac:dyDescent="0.4">
      <c r="A133" s="20" t="s">
        <v>710</v>
      </c>
      <c r="B133" t="str">
        <f>IF(Synthese!O169,Synthese!G169,"")</f>
        <v/>
      </c>
      <c r="D133" t="str">
        <f t="shared" si="2"/>
        <v/>
      </c>
    </row>
    <row r="134" spans="1:4" x14ac:dyDescent="0.4">
      <c r="A134" s="20" t="s">
        <v>710</v>
      </c>
      <c r="B134" t="str">
        <f>IF(Synthese!O170,Synthese!G170,"")</f>
        <v>lmessina</v>
      </c>
      <c r="D134" t="str">
        <f t="shared" si="2"/>
        <v>VALIDATE</v>
      </c>
    </row>
    <row r="135" spans="1:4" x14ac:dyDescent="0.4">
      <c r="A135" s="20" t="s">
        <v>710</v>
      </c>
      <c r="B135" t="str">
        <f>IF(Synthese!O171,Synthese!G171,"")</f>
        <v/>
      </c>
      <c r="D135" t="str">
        <f t="shared" si="2"/>
        <v/>
      </c>
    </row>
    <row r="136" spans="1:4" x14ac:dyDescent="0.4">
      <c r="A136" s="20" t="s">
        <v>710</v>
      </c>
      <c r="B136" t="str">
        <f>IF(Synthese!O172,Synthese!G172,"")</f>
        <v/>
      </c>
      <c r="D136" t="str">
        <f t="shared" si="2"/>
        <v/>
      </c>
    </row>
    <row r="137" spans="1:4" x14ac:dyDescent="0.4">
      <c r="A137" s="20" t="s">
        <v>710</v>
      </c>
      <c r="B137" t="str">
        <f>IF(Synthese!O173,Synthese!G173,"")</f>
        <v>lsardinameesemaecker</v>
      </c>
      <c r="D137" t="str">
        <f t="shared" si="2"/>
        <v>VALIDATE</v>
      </c>
    </row>
    <row r="138" spans="1:4" x14ac:dyDescent="0.4">
      <c r="A138" s="20" t="s">
        <v>710</v>
      </c>
      <c r="B138" t="str">
        <f>IF(Synthese!O174,Synthese!G174,"")</f>
        <v>lvandenhole</v>
      </c>
      <c r="D138" t="str">
        <f t="shared" si="2"/>
        <v>VALIDATE</v>
      </c>
    </row>
    <row r="139" spans="1:4" x14ac:dyDescent="0.4">
      <c r="A139" s="20" t="s">
        <v>710</v>
      </c>
      <c r="B139" t="str">
        <f>IF(Synthese!O175,Synthese!G175,"")</f>
        <v>lvgrillo</v>
      </c>
      <c r="D139" t="str">
        <f t="shared" si="2"/>
        <v>VALIDATE</v>
      </c>
    </row>
    <row r="140" spans="1:4" x14ac:dyDescent="0.4">
      <c r="A140" s="20" t="s">
        <v>710</v>
      </c>
      <c r="B140" t="str">
        <f>IF(Synthese!O176,Synthese!G176,"")</f>
        <v>lxiao</v>
      </c>
      <c r="D140" t="str">
        <f t="shared" si="2"/>
        <v>VALIDATE</v>
      </c>
    </row>
    <row r="141" spans="1:4" x14ac:dyDescent="0.4">
      <c r="A141" s="20" t="s">
        <v>710</v>
      </c>
      <c r="B141" t="str">
        <f>IF(Synthese!O177,Synthese!G177,"")</f>
        <v/>
      </c>
      <c r="D141" t="str">
        <f t="shared" si="2"/>
        <v/>
      </c>
    </row>
    <row r="142" spans="1:4" x14ac:dyDescent="0.4">
      <c r="A142" s="20" t="s">
        <v>710</v>
      </c>
      <c r="B142" t="str">
        <f>IF(Synthese!O178,Synthese!G178,"")</f>
        <v>mangot</v>
      </c>
      <c r="D142" t="str">
        <f t="shared" si="2"/>
        <v>VALIDATE</v>
      </c>
    </row>
    <row r="143" spans="1:4" x14ac:dyDescent="0.4">
      <c r="A143" s="20" t="s">
        <v>710</v>
      </c>
      <c r="B143" t="str">
        <f>IF(Synthese!O179,Synthese!G179,"")</f>
        <v/>
      </c>
      <c r="D143" t="str">
        <f t="shared" si="2"/>
        <v/>
      </c>
    </row>
    <row r="144" spans="1:4" x14ac:dyDescent="0.4">
      <c r="A144" s="20" t="s">
        <v>710</v>
      </c>
      <c r="B144" t="str">
        <f>IF(Synthese!O180,Synthese!G180,"")</f>
        <v>mbianchi</v>
      </c>
      <c r="D144" t="str">
        <f t="shared" si="2"/>
        <v>VALIDATE</v>
      </c>
    </row>
    <row r="145" spans="1:4" x14ac:dyDescent="0.4">
      <c r="A145" s="20" t="s">
        <v>710</v>
      </c>
      <c r="B145" t="str">
        <f>IF(Synthese!O181,Synthese!G181,"")</f>
        <v>mblouet</v>
      </c>
      <c r="D145" t="str">
        <f t="shared" si="2"/>
        <v>VALIDATE</v>
      </c>
    </row>
    <row r="146" spans="1:4" x14ac:dyDescent="0.4">
      <c r="A146" s="20" t="s">
        <v>710</v>
      </c>
      <c r="B146" t="str">
        <f>IF(Synthese!O182,Synthese!G182,"")</f>
        <v/>
      </c>
      <c r="D146" t="str">
        <f t="shared" si="2"/>
        <v/>
      </c>
    </row>
    <row r="147" spans="1:4" x14ac:dyDescent="0.4">
      <c r="A147" s="20" t="s">
        <v>710</v>
      </c>
      <c r="B147" t="str">
        <f>IF(Synthese!O183,Synthese!G183,"")</f>
        <v/>
      </c>
      <c r="D147" t="str">
        <f t="shared" si="2"/>
        <v/>
      </c>
    </row>
    <row r="148" spans="1:4" x14ac:dyDescent="0.4">
      <c r="A148" s="20" t="s">
        <v>710</v>
      </c>
      <c r="B148" t="str">
        <f>IF(Synthese!O184,Synthese!G184,"")</f>
        <v/>
      </c>
      <c r="D148" t="str">
        <f t="shared" si="2"/>
        <v/>
      </c>
    </row>
    <row r="149" spans="1:4" x14ac:dyDescent="0.4">
      <c r="A149" s="20" t="s">
        <v>710</v>
      </c>
      <c r="B149" t="str">
        <f>IF(Synthese!O185,Synthese!G185,"")</f>
        <v/>
      </c>
      <c r="D149" t="str">
        <f t="shared" si="2"/>
        <v/>
      </c>
    </row>
    <row r="150" spans="1:4" x14ac:dyDescent="0.4">
      <c r="A150" s="20" t="s">
        <v>710</v>
      </c>
      <c r="B150" t="str">
        <f>IF(Synthese!O186,Synthese!G186,"")</f>
        <v/>
      </c>
      <c r="D150" t="str">
        <f t="shared" si="2"/>
        <v/>
      </c>
    </row>
    <row r="151" spans="1:4" x14ac:dyDescent="0.4">
      <c r="A151" s="20" t="s">
        <v>710</v>
      </c>
      <c r="B151" t="str">
        <f>IF(Synthese!O187,Synthese!G187,"")</f>
        <v/>
      </c>
      <c r="D151" t="str">
        <f t="shared" si="2"/>
        <v/>
      </c>
    </row>
    <row r="152" spans="1:4" x14ac:dyDescent="0.4">
      <c r="A152" s="20" t="s">
        <v>710</v>
      </c>
      <c r="B152" t="str">
        <f>IF(Synthese!O188,Synthese!G188,"")</f>
        <v>mkim</v>
      </c>
      <c r="D152" t="str">
        <f t="shared" si="2"/>
        <v>VALIDATE</v>
      </c>
    </row>
    <row r="153" spans="1:4" x14ac:dyDescent="0.4">
      <c r="A153" s="20" t="s">
        <v>710</v>
      </c>
      <c r="B153" t="str">
        <f>IF(Synthese!O189,Synthese!G189,"")</f>
        <v>mlauriac</v>
      </c>
      <c r="D153" t="str">
        <f t="shared" si="2"/>
        <v>VALIDATE</v>
      </c>
    </row>
    <row r="154" spans="1:4" x14ac:dyDescent="0.4">
      <c r="A154" s="20" t="s">
        <v>710</v>
      </c>
      <c r="B154" t="str">
        <f>IF(Synthese!O190,Synthese!G190,"")</f>
        <v>mmarchessaury</v>
      </c>
      <c r="D154" t="str">
        <f t="shared" si="2"/>
        <v>VALIDATE</v>
      </c>
    </row>
    <row r="155" spans="1:4" x14ac:dyDescent="0.4">
      <c r="A155" s="20" t="s">
        <v>710</v>
      </c>
      <c r="B155" t="str">
        <f>IF(Synthese!O191,Synthese!G191,"")</f>
        <v/>
      </c>
      <c r="D155" t="str">
        <f t="shared" si="2"/>
        <v/>
      </c>
    </row>
    <row r="156" spans="1:4" x14ac:dyDescent="0.4">
      <c r="A156" s="20" t="s">
        <v>710</v>
      </c>
      <c r="B156" t="str">
        <f>IF(Synthese!O192,Synthese!G192,"")</f>
        <v/>
      </c>
      <c r="D156" t="str">
        <f t="shared" si="2"/>
        <v/>
      </c>
    </row>
    <row r="157" spans="1:4" x14ac:dyDescent="0.4">
      <c r="A157" s="20" t="s">
        <v>710</v>
      </c>
      <c r="B157" t="str">
        <f>IF(Synthese!O193,Synthese!G193,"")</f>
        <v/>
      </c>
      <c r="D157" t="str">
        <f t="shared" si="2"/>
        <v/>
      </c>
    </row>
    <row r="158" spans="1:4" x14ac:dyDescent="0.4">
      <c r="A158" s="20" t="s">
        <v>710</v>
      </c>
      <c r="B158" t="str">
        <f>IF(Synthese!O194,Synthese!G194,"")</f>
        <v/>
      </c>
      <c r="D158" t="str">
        <f t="shared" si="2"/>
        <v/>
      </c>
    </row>
    <row r="159" spans="1:4" x14ac:dyDescent="0.4">
      <c r="A159" s="20" t="s">
        <v>710</v>
      </c>
      <c r="B159" t="str">
        <f>IF(Synthese!O195,Synthese!G195,"")</f>
        <v/>
      </c>
      <c r="D159" t="str">
        <f t="shared" si="2"/>
        <v/>
      </c>
    </row>
    <row r="160" spans="1:4" x14ac:dyDescent="0.4">
      <c r="A160" s="20" t="s">
        <v>710</v>
      </c>
      <c r="B160" t="str">
        <f>IF(Synthese!O196,Synthese!G196,"")</f>
        <v>mpascal1</v>
      </c>
      <c r="D160" t="str">
        <f t="shared" si="2"/>
        <v>VALIDATE</v>
      </c>
    </row>
    <row r="161" spans="1:4" x14ac:dyDescent="0.4">
      <c r="A161" s="20" t="s">
        <v>710</v>
      </c>
      <c r="B161" t="str">
        <f>IF(Synthese!O197,Synthese!G197,"")</f>
        <v>mplait</v>
      </c>
      <c r="D161" t="str">
        <f t="shared" si="2"/>
        <v>VALIDATE</v>
      </c>
    </row>
    <row r="162" spans="1:4" x14ac:dyDescent="0.4">
      <c r="A162" s="20" t="s">
        <v>710</v>
      </c>
      <c r="B162" t="str">
        <f>IF(Synthese!O198,Synthese!G198,"")</f>
        <v>mplassard1</v>
      </c>
      <c r="D162" t="str">
        <f t="shared" si="2"/>
        <v>VALIDATE</v>
      </c>
    </row>
    <row r="163" spans="1:4" x14ac:dyDescent="0.4">
      <c r="A163" s="20" t="s">
        <v>710</v>
      </c>
      <c r="B163" t="str">
        <f>IF(Synthese!O199,Synthese!G199,"")</f>
        <v/>
      </c>
      <c r="D163" t="str">
        <f t="shared" si="2"/>
        <v/>
      </c>
    </row>
    <row r="164" spans="1:4" x14ac:dyDescent="0.4">
      <c r="A164" s="20" t="s">
        <v>710</v>
      </c>
      <c r="B164" t="str">
        <f>IF(Synthese!O200,Synthese!G200,"")</f>
        <v/>
      </c>
      <c r="D164" t="str">
        <f t="shared" si="2"/>
        <v/>
      </c>
    </row>
    <row r="165" spans="1:4" x14ac:dyDescent="0.4">
      <c r="A165" s="20" t="s">
        <v>710</v>
      </c>
      <c r="B165" t="str">
        <f>IF(Synthese!O201,Synthese!G201,"")</f>
        <v>msekfalibonnier</v>
      </c>
      <c r="D165" t="str">
        <f t="shared" si="2"/>
        <v>VALIDATE</v>
      </c>
    </row>
    <row r="166" spans="1:4" x14ac:dyDescent="0.4">
      <c r="A166" s="20" t="s">
        <v>710</v>
      </c>
      <c r="B166" t="str">
        <f>IF(Synthese!O202,Synthese!G202,"")</f>
        <v>mseto</v>
      </c>
      <c r="D166" t="str">
        <f t="shared" si="2"/>
        <v>VALIDATE</v>
      </c>
    </row>
    <row r="167" spans="1:4" x14ac:dyDescent="0.4">
      <c r="A167" s="20" t="s">
        <v>710</v>
      </c>
      <c r="B167" t="str">
        <f>IF(Synthese!O203,Synthese!G203,"")</f>
        <v>mshcherbina</v>
      </c>
      <c r="D167" t="str">
        <f t="shared" si="2"/>
        <v>VALIDATE</v>
      </c>
    </row>
    <row r="168" spans="1:4" x14ac:dyDescent="0.4">
      <c r="A168" s="20" t="s">
        <v>710</v>
      </c>
      <c r="B168" t="str">
        <f>IF(Synthese!O204,Synthese!G204,"")</f>
        <v>mshiozawa</v>
      </c>
      <c r="D168" t="str">
        <f t="shared" ref="D168:D211" si="3">IF(B168&lt;&gt;"","VALIDATE","")</f>
        <v>VALIDATE</v>
      </c>
    </row>
    <row r="169" spans="1:4" x14ac:dyDescent="0.4">
      <c r="A169" s="20" t="s">
        <v>710</v>
      </c>
      <c r="B169" t="str">
        <f>IF(Synthese!O205,Synthese!G205,"")</f>
        <v/>
      </c>
      <c r="D169" t="str">
        <f t="shared" si="3"/>
        <v/>
      </c>
    </row>
    <row r="170" spans="1:4" x14ac:dyDescent="0.4">
      <c r="A170" s="20" t="s">
        <v>710</v>
      </c>
      <c r="B170" t="str">
        <f>IF(Synthese!O206,Synthese!G206,"")</f>
        <v/>
      </c>
      <c r="D170" t="str">
        <f t="shared" si="3"/>
        <v/>
      </c>
    </row>
    <row r="171" spans="1:4" x14ac:dyDescent="0.4">
      <c r="A171" s="20" t="s">
        <v>710</v>
      </c>
      <c r="B171" t="str">
        <f>IF(Synthese!O207,Synthese!G207,"")</f>
        <v>mvalero</v>
      </c>
      <c r="D171" t="str">
        <f t="shared" si="3"/>
        <v>VALIDATE</v>
      </c>
    </row>
    <row r="172" spans="1:4" x14ac:dyDescent="0.4">
      <c r="A172" s="20" t="s">
        <v>710</v>
      </c>
      <c r="B172" t="str">
        <f>IF(Synthese!O208,Synthese!G208,"")</f>
        <v/>
      </c>
      <c r="D172" t="str">
        <f t="shared" si="3"/>
        <v/>
      </c>
    </row>
    <row r="173" spans="1:4" x14ac:dyDescent="0.4">
      <c r="A173" s="20" t="s">
        <v>710</v>
      </c>
      <c r="B173" t="str">
        <f>IF(Synthese!O209,Synthese!G209,"")</f>
        <v/>
      </c>
      <c r="D173" t="str">
        <f t="shared" si="3"/>
        <v/>
      </c>
    </row>
    <row r="174" spans="1:4" x14ac:dyDescent="0.4">
      <c r="A174" s="20" t="s">
        <v>710</v>
      </c>
      <c r="B174" t="str">
        <f>IF(Synthese!O210,Synthese!G210,"")</f>
        <v>nduboille</v>
      </c>
      <c r="D174" t="str">
        <f t="shared" si="3"/>
        <v>VALIDATE</v>
      </c>
    </row>
    <row r="175" spans="1:4" x14ac:dyDescent="0.4">
      <c r="A175" s="20" t="s">
        <v>710</v>
      </c>
      <c r="B175" t="str">
        <f>IF(Synthese!O211,Synthese!G211,"")</f>
        <v>nemoscardo</v>
      </c>
      <c r="D175" t="str">
        <f t="shared" si="3"/>
        <v>VALIDATE</v>
      </c>
    </row>
    <row r="176" spans="1:4" x14ac:dyDescent="0.4">
      <c r="A176" s="20" t="s">
        <v>710</v>
      </c>
      <c r="B176" t="str">
        <f>IF(Synthese!O212,Synthese!G212,"")</f>
        <v/>
      </c>
      <c r="D176" t="str">
        <f t="shared" si="3"/>
        <v/>
      </c>
    </row>
    <row r="177" spans="1:4" x14ac:dyDescent="0.4">
      <c r="A177" s="20" t="s">
        <v>710</v>
      </c>
      <c r="B177" t="str">
        <f>IF(Synthese!O213,Synthese!G213,"")</f>
        <v>njosselin</v>
      </c>
      <c r="D177" t="str">
        <f t="shared" si="3"/>
        <v>VALIDATE</v>
      </c>
    </row>
    <row r="178" spans="1:4" x14ac:dyDescent="0.4">
      <c r="A178" s="20" t="s">
        <v>710</v>
      </c>
      <c r="B178" t="str">
        <f>IF(Synthese!O214,Synthese!G214,"")</f>
        <v>nkittel</v>
      </c>
      <c r="D178" t="str">
        <f t="shared" si="3"/>
        <v>VALIDATE</v>
      </c>
    </row>
    <row r="179" spans="1:4" x14ac:dyDescent="0.4">
      <c r="A179" s="20" t="s">
        <v>710</v>
      </c>
      <c r="B179" t="str">
        <f>IF(Synthese!O215,Synthese!G215,"")</f>
        <v>nlancelotmahe</v>
      </c>
      <c r="D179" t="str">
        <f t="shared" si="3"/>
        <v>VALIDATE</v>
      </c>
    </row>
    <row r="180" spans="1:4" x14ac:dyDescent="0.4">
      <c r="A180" s="20" t="s">
        <v>710</v>
      </c>
      <c r="B180" t="str">
        <f>IF(Synthese!O216,Synthese!G216,"")</f>
        <v>nlastere</v>
      </c>
      <c r="D180" t="str">
        <f t="shared" si="3"/>
        <v>VALIDATE</v>
      </c>
    </row>
    <row r="181" spans="1:4" x14ac:dyDescent="0.4">
      <c r="A181" s="20" t="s">
        <v>710</v>
      </c>
      <c r="B181" t="str">
        <f>IF(Synthese!O217,Synthese!G217,"")</f>
        <v>nmetivierragonnet</v>
      </c>
      <c r="D181" t="str">
        <f t="shared" si="3"/>
        <v>VALIDATE</v>
      </c>
    </row>
    <row r="182" spans="1:4" x14ac:dyDescent="0.4">
      <c r="A182" s="20" t="s">
        <v>710</v>
      </c>
      <c r="B182" t="str">
        <f>IF(Synthese!O218,Synthese!G218,"")</f>
        <v/>
      </c>
      <c r="D182" t="str">
        <f t="shared" si="3"/>
        <v/>
      </c>
    </row>
    <row r="183" spans="1:4" x14ac:dyDescent="0.4">
      <c r="A183" s="20" t="s">
        <v>710</v>
      </c>
      <c r="B183" t="str">
        <f>IF(Synthese!O219,Synthese!G219,"")</f>
        <v/>
      </c>
      <c r="D183" t="str">
        <f t="shared" si="3"/>
        <v/>
      </c>
    </row>
    <row r="184" spans="1:4" x14ac:dyDescent="0.4">
      <c r="A184" s="20" t="s">
        <v>710</v>
      </c>
      <c r="B184" t="str">
        <f>IF(Synthese!O220,Synthese!G220,"")</f>
        <v/>
      </c>
      <c r="D184" t="str">
        <f t="shared" si="3"/>
        <v/>
      </c>
    </row>
    <row r="185" spans="1:4" x14ac:dyDescent="0.4">
      <c r="A185" s="20" t="s">
        <v>710</v>
      </c>
      <c r="B185" t="str">
        <f>IF(Synthese!O221,Synthese!G221,"")</f>
        <v>nrossinidefrancois</v>
      </c>
      <c r="D185" t="str">
        <f t="shared" si="3"/>
        <v>VALIDATE</v>
      </c>
    </row>
    <row r="186" spans="1:4" x14ac:dyDescent="0.4">
      <c r="A186" s="20" t="s">
        <v>710</v>
      </c>
      <c r="B186" t="str">
        <f>IF(Synthese!O222,Synthese!G222,"")</f>
        <v/>
      </c>
      <c r="D186" t="str">
        <f t="shared" si="3"/>
        <v/>
      </c>
    </row>
    <row r="187" spans="1:4" x14ac:dyDescent="0.4">
      <c r="A187" s="20" t="s">
        <v>710</v>
      </c>
      <c r="B187" t="str">
        <f>IF(Synthese!O223,Synthese!G223,"")</f>
        <v>nsmangloma</v>
      </c>
      <c r="D187" t="str">
        <f t="shared" si="3"/>
        <v>VALIDATE</v>
      </c>
    </row>
    <row r="188" spans="1:4" x14ac:dyDescent="0.4">
      <c r="A188" s="20" t="s">
        <v>710</v>
      </c>
      <c r="B188" t="str">
        <f>IF(Synthese!O224,Synthese!G224,"")</f>
        <v>odesousapires</v>
      </c>
      <c r="D188" t="str">
        <f t="shared" si="3"/>
        <v>VALIDATE</v>
      </c>
    </row>
    <row r="189" spans="1:4" x14ac:dyDescent="0.4">
      <c r="A189" s="20" t="s">
        <v>710</v>
      </c>
      <c r="B189" t="str">
        <f>IF(Synthese!O225,Synthese!G225,"")</f>
        <v>ogonzalezbabiaud</v>
      </c>
      <c r="D189" t="str">
        <f t="shared" si="3"/>
        <v>VALIDATE</v>
      </c>
    </row>
    <row r="190" spans="1:4" x14ac:dyDescent="0.4">
      <c r="A190" s="20" t="s">
        <v>710</v>
      </c>
      <c r="B190" t="str">
        <f>IF(Synthese!O226,Synthese!G226,"")</f>
        <v/>
      </c>
      <c r="D190" t="str">
        <f t="shared" si="3"/>
        <v/>
      </c>
    </row>
    <row r="191" spans="1:4" x14ac:dyDescent="0.4">
      <c r="A191" s="20" t="s">
        <v>710</v>
      </c>
      <c r="B191" t="str">
        <f>IF(Synthese!O227,Synthese!G227,"")</f>
        <v/>
      </c>
      <c r="D191" t="str">
        <f t="shared" si="3"/>
        <v/>
      </c>
    </row>
    <row r="192" spans="1:4" x14ac:dyDescent="0.4">
      <c r="A192" s="20" t="s">
        <v>710</v>
      </c>
      <c r="B192" t="str">
        <f>IF(Synthese!O228,Synthese!G228,"")</f>
        <v/>
      </c>
      <c r="D192" t="str">
        <f t="shared" si="3"/>
        <v/>
      </c>
    </row>
    <row r="193" spans="1:4" x14ac:dyDescent="0.4">
      <c r="A193" s="20" t="s">
        <v>710</v>
      </c>
      <c r="B193" t="str">
        <f>IF(Synthese!O229,Synthese!G229,"")</f>
        <v/>
      </c>
      <c r="D193" t="str">
        <f t="shared" si="3"/>
        <v/>
      </c>
    </row>
    <row r="194" spans="1:4" x14ac:dyDescent="0.4">
      <c r="A194" s="20" t="s">
        <v>710</v>
      </c>
      <c r="B194" t="str">
        <f>IF(Synthese!O230,Synthese!G230,"")</f>
        <v/>
      </c>
      <c r="D194" t="str">
        <f t="shared" si="3"/>
        <v/>
      </c>
    </row>
    <row r="195" spans="1:4" x14ac:dyDescent="0.4">
      <c r="A195" s="20" t="s">
        <v>710</v>
      </c>
      <c r="B195" t="str">
        <f>IF(Synthese!O231,Synthese!G231,"")</f>
        <v/>
      </c>
      <c r="D195" t="str">
        <f t="shared" si="3"/>
        <v/>
      </c>
    </row>
    <row r="196" spans="1:4" x14ac:dyDescent="0.4">
      <c r="A196" s="20" t="s">
        <v>710</v>
      </c>
      <c r="B196" t="str">
        <f>IF(Synthese!O232,Synthese!G232,"")</f>
        <v>pgermanaz</v>
      </c>
      <c r="D196" t="str">
        <f t="shared" si="3"/>
        <v>VALIDATE</v>
      </c>
    </row>
    <row r="197" spans="1:4" x14ac:dyDescent="0.4">
      <c r="A197" s="20" t="s">
        <v>710</v>
      </c>
      <c r="B197" t="str">
        <f>IF(Synthese!O233,Synthese!G233,"")</f>
        <v>plagondjondenguinot</v>
      </c>
      <c r="D197" t="str">
        <f t="shared" si="3"/>
        <v>VALIDATE</v>
      </c>
    </row>
    <row r="198" spans="1:4" x14ac:dyDescent="0.4">
      <c r="A198" s="20" t="s">
        <v>710</v>
      </c>
      <c r="B198" t="str">
        <f>IF(Synthese!O234,Synthese!G234,"")</f>
        <v>pmuslewski</v>
      </c>
      <c r="D198" t="str">
        <f t="shared" si="3"/>
        <v>VALIDATE</v>
      </c>
    </row>
    <row r="199" spans="1:4" x14ac:dyDescent="0.4">
      <c r="A199" s="20" t="s">
        <v>710</v>
      </c>
      <c r="B199" t="str">
        <f>IF(Synthese!O235,Synthese!G235,"")</f>
        <v/>
      </c>
      <c r="D199" t="str">
        <f t="shared" si="3"/>
        <v/>
      </c>
    </row>
    <row r="200" spans="1:4" x14ac:dyDescent="0.4">
      <c r="A200" s="20" t="s">
        <v>710</v>
      </c>
      <c r="B200" t="str">
        <f>IF(Synthese!O236,Synthese!G236,"")</f>
        <v>probilliard</v>
      </c>
      <c r="D200" t="str">
        <f t="shared" si="3"/>
        <v>VALIDATE</v>
      </c>
    </row>
    <row r="201" spans="1:4" x14ac:dyDescent="0.4">
      <c r="A201" s="20" t="s">
        <v>710</v>
      </c>
      <c r="B201" t="str">
        <f>IF(Synthese!O237,Synthese!G237,"")</f>
        <v/>
      </c>
      <c r="D201" t="str">
        <f t="shared" si="3"/>
        <v/>
      </c>
    </row>
    <row r="202" spans="1:4" x14ac:dyDescent="0.4">
      <c r="A202" s="20" t="s">
        <v>710</v>
      </c>
      <c r="B202" t="str">
        <f>IF(Synthese!O238,Synthese!G238,"")</f>
        <v>rcohenakenine</v>
      </c>
      <c r="D202" t="str">
        <f t="shared" si="3"/>
        <v>VALIDATE</v>
      </c>
    </row>
    <row r="203" spans="1:4" x14ac:dyDescent="0.4">
      <c r="A203" s="20" t="s">
        <v>710</v>
      </c>
      <c r="B203" t="str">
        <f>IF(Synthese!O239,Synthese!G239,"")</f>
        <v/>
      </c>
      <c r="D203" t="str">
        <f t="shared" si="3"/>
        <v/>
      </c>
    </row>
    <row r="204" spans="1:4" x14ac:dyDescent="0.4">
      <c r="A204" s="20" t="s">
        <v>710</v>
      </c>
      <c r="B204" t="str">
        <f>IF(Synthese!O240,Synthese!G240,"")</f>
        <v/>
      </c>
      <c r="D204" t="str">
        <f t="shared" si="3"/>
        <v/>
      </c>
    </row>
    <row r="205" spans="1:4" x14ac:dyDescent="0.4">
      <c r="A205" s="20" t="s">
        <v>710</v>
      </c>
      <c r="B205" t="str">
        <f>IF(Synthese!O241,Synthese!G241,"")</f>
        <v/>
      </c>
      <c r="D205" t="str">
        <f t="shared" si="3"/>
        <v/>
      </c>
    </row>
    <row r="206" spans="1:4" x14ac:dyDescent="0.4">
      <c r="A206" s="20" t="s">
        <v>710</v>
      </c>
      <c r="B206" t="str">
        <f>IF(Synthese!O242,Synthese!G242,"")</f>
        <v>rgrevin</v>
      </c>
      <c r="D206" t="str">
        <f t="shared" si="3"/>
        <v>VALIDATE</v>
      </c>
    </row>
    <row r="207" spans="1:4" x14ac:dyDescent="0.4">
      <c r="A207" s="20" t="s">
        <v>710</v>
      </c>
      <c r="B207" t="str">
        <f>IF(Synthese!O243,Synthese!G243,"")</f>
        <v>rharada</v>
      </c>
      <c r="D207" t="str">
        <f t="shared" si="3"/>
        <v>VALIDATE</v>
      </c>
    </row>
    <row r="208" spans="1:4" x14ac:dyDescent="0.4">
      <c r="A208" s="20" t="s">
        <v>710</v>
      </c>
      <c r="B208" t="str">
        <f>IF(Synthese!O244,Synthese!G244,"")</f>
        <v>rkazandjian</v>
      </c>
      <c r="D208" t="str">
        <f t="shared" si="3"/>
        <v>VALIDATE</v>
      </c>
    </row>
    <row r="209" spans="1:4" x14ac:dyDescent="0.4">
      <c r="A209" s="20" t="s">
        <v>710</v>
      </c>
      <c r="B209" t="str">
        <f>IF(Synthese!O245,Synthese!G245,"")</f>
        <v>rleblond</v>
      </c>
      <c r="D209" t="str">
        <f t="shared" si="3"/>
        <v>VALIDATE</v>
      </c>
    </row>
    <row r="210" spans="1:4" x14ac:dyDescent="0.4">
      <c r="A210" s="20" t="s">
        <v>710</v>
      </c>
      <c r="B210" t="str">
        <f>IF(Synthese!O246,Synthese!G246,"")</f>
        <v>rleleu1</v>
      </c>
      <c r="D210" t="str">
        <f t="shared" si="3"/>
        <v>VALIDATE</v>
      </c>
    </row>
    <row r="211" spans="1:4" x14ac:dyDescent="0.4">
      <c r="A211" s="20" t="s">
        <v>710</v>
      </c>
      <c r="B211" t="str">
        <f>IF(Synthese!O247,Synthese!G247,"")</f>
        <v/>
      </c>
      <c r="D211" t="str">
        <f t="shared" si="3"/>
        <v/>
      </c>
    </row>
    <row r="212" spans="1:4" x14ac:dyDescent="0.4">
      <c r="A212" s="20" t="s">
        <v>710</v>
      </c>
      <c r="B212" t="str">
        <f>IF(Synthese!O248,Synthese!G248,"")</f>
        <v>sarchimbaudadad</v>
      </c>
      <c r="D212" t="str">
        <f t="shared" ref="D212:D275" si="4">IF(B212&lt;&gt;"","VALIDATE","")</f>
        <v>VALIDATE</v>
      </c>
    </row>
    <row r="213" spans="1:4" x14ac:dyDescent="0.4">
      <c r="A213" s="20" t="s">
        <v>710</v>
      </c>
      <c r="B213" t="str">
        <f>IF(Synthese!O249,Synthese!G249,"")</f>
        <v>scohen</v>
      </c>
      <c r="D213" t="str">
        <f t="shared" si="4"/>
        <v>VALIDATE</v>
      </c>
    </row>
    <row r="214" spans="1:4" x14ac:dyDescent="0.4">
      <c r="A214" s="20" t="s">
        <v>710</v>
      </c>
      <c r="B214" t="str">
        <f>IF(Synthese!O250,Synthese!G250,"")</f>
        <v/>
      </c>
      <c r="D214" t="str">
        <f t="shared" si="4"/>
        <v/>
      </c>
    </row>
    <row r="215" spans="1:4" x14ac:dyDescent="0.4">
      <c r="A215" s="20" t="s">
        <v>710</v>
      </c>
      <c r="B215" t="str">
        <f>IF(Synthese!O251,Synthese!G251,"")</f>
        <v>shamdoun</v>
      </c>
      <c r="D215" t="str">
        <f t="shared" si="4"/>
        <v>VALIDATE</v>
      </c>
    </row>
    <row r="216" spans="1:4" x14ac:dyDescent="0.4">
      <c r="A216" s="20" t="s">
        <v>710</v>
      </c>
      <c r="B216" t="str">
        <f>IF(Synthese!O252,Synthese!G252,"")</f>
        <v/>
      </c>
      <c r="D216" t="str">
        <f t="shared" si="4"/>
        <v/>
      </c>
    </row>
    <row r="217" spans="1:4" x14ac:dyDescent="0.4">
      <c r="A217" s="20" t="s">
        <v>710</v>
      </c>
      <c r="B217" t="str">
        <f>IF(Synthese!O253,Synthese!G253,"")</f>
        <v/>
      </c>
      <c r="D217" t="str">
        <f t="shared" si="4"/>
        <v/>
      </c>
    </row>
    <row r="218" spans="1:4" x14ac:dyDescent="0.4">
      <c r="A218" s="20" t="s">
        <v>710</v>
      </c>
      <c r="B218" t="str">
        <f>IF(Synthese!O254,Synthese!G254,"")</f>
        <v>slaquayeudine</v>
      </c>
      <c r="D218" t="str">
        <f t="shared" si="4"/>
        <v>VALIDATE</v>
      </c>
    </row>
    <row r="219" spans="1:4" x14ac:dyDescent="0.4">
      <c r="A219" s="20" t="s">
        <v>710</v>
      </c>
      <c r="B219" t="str">
        <f>IF(Synthese!O255,Synthese!G255,"")</f>
        <v>sleblanclarosa</v>
      </c>
      <c r="D219" t="str">
        <f t="shared" si="4"/>
        <v>VALIDATE</v>
      </c>
    </row>
    <row r="220" spans="1:4" x14ac:dyDescent="0.4">
      <c r="A220" s="20" t="s">
        <v>710</v>
      </c>
      <c r="B220" t="str">
        <f>IF(Synthese!O256,Synthese!G256,"")</f>
        <v>slim</v>
      </c>
      <c r="D220" t="str">
        <f t="shared" si="4"/>
        <v>VALIDATE</v>
      </c>
    </row>
    <row r="221" spans="1:4" x14ac:dyDescent="0.4">
      <c r="A221" s="20" t="s">
        <v>710</v>
      </c>
      <c r="B221" t="str">
        <f>IF(Synthese!O257,Synthese!G257,"")</f>
        <v>smiceli</v>
      </c>
      <c r="D221" t="str">
        <f t="shared" si="4"/>
        <v>VALIDATE</v>
      </c>
    </row>
    <row r="222" spans="1:4" x14ac:dyDescent="0.4">
      <c r="A222" s="20" t="s">
        <v>710</v>
      </c>
      <c r="B222" t="str">
        <f>IF(Synthese!O258,Synthese!G258,"")</f>
        <v>spark</v>
      </c>
      <c r="D222" t="str">
        <f t="shared" si="4"/>
        <v>VALIDATE</v>
      </c>
    </row>
    <row r="223" spans="1:4" x14ac:dyDescent="0.4">
      <c r="A223" s="20" t="s">
        <v>710</v>
      </c>
      <c r="B223" t="str">
        <f>IF(Synthese!O259,Synthese!G259,"")</f>
        <v>sperarnaudaramendi</v>
      </c>
      <c r="D223" t="str">
        <f t="shared" si="4"/>
        <v>VALIDATE</v>
      </c>
    </row>
    <row r="224" spans="1:4" x14ac:dyDescent="0.4">
      <c r="A224" s="20" t="s">
        <v>710</v>
      </c>
      <c r="B224" t="str">
        <f>IF(Synthese!O260,Synthese!G260,"")</f>
        <v>sschuurman</v>
      </c>
      <c r="D224" t="str">
        <f t="shared" si="4"/>
        <v>VALIDATE</v>
      </c>
    </row>
    <row r="225" spans="1:4" x14ac:dyDescent="0.4">
      <c r="A225" s="20" t="s">
        <v>710</v>
      </c>
      <c r="B225" t="str">
        <f>IF(Synthese!O261,Synthese!G261,"")</f>
        <v/>
      </c>
      <c r="D225" t="str">
        <f t="shared" si="4"/>
        <v/>
      </c>
    </row>
    <row r="226" spans="1:4" x14ac:dyDescent="0.4">
      <c r="A226" s="20" t="s">
        <v>710</v>
      </c>
      <c r="B226" t="str">
        <f>IF(Synthese!O262,Synthese!G262,"")</f>
        <v/>
      </c>
      <c r="D226" t="str">
        <f t="shared" si="4"/>
        <v/>
      </c>
    </row>
    <row r="227" spans="1:4" x14ac:dyDescent="0.4">
      <c r="A227" s="20" t="s">
        <v>710</v>
      </c>
      <c r="B227" t="str">
        <f>IF(Synthese!O263,Synthese!G263,"")</f>
        <v>stheodas</v>
      </c>
      <c r="D227" t="str">
        <f t="shared" si="4"/>
        <v>VALIDATE</v>
      </c>
    </row>
    <row r="228" spans="1:4" x14ac:dyDescent="0.4">
      <c r="A228" s="20" t="s">
        <v>710</v>
      </c>
      <c r="B228" t="str">
        <f>IF(Synthese!O264,Synthese!G264,"")</f>
        <v>syagi</v>
      </c>
      <c r="D228" t="str">
        <f t="shared" si="4"/>
        <v>VALIDATE</v>
      </c>
    </row>
    <row r="229" spans="1:4" x14ac:dyDescent="0.4">
      <c r="A229" s="20" t="s">
        <v>710</v>
      </c>
      <c r="B229" t="str">
        <f>IF(Synthese!O265,Synthese!G265,"")</f>
        <v>syoon</v>
      </c>
      <c r="D229" t="str">
        <f t="shared" si="4"/>
        <v>VALIDATE</v>
      </c>
    </row>
    <row r="230" spans="1:4" x14ac:dyDescent="0.4">
      <c r="A230" s="20" t="s">
        <v>710</v>
      </c>
      <c r="B230" t="str">
        <f>IF(Synthese!O266,Synthese!G266,"")</f>
        <v>taguerre</v>
      </c>
      <c r="D230" t="str">
        <f t="shared" si="4"/>
        <v>VALIDATE</v>
      </c>
    </row>
    <row r="231" spans="1:4" x14ac:dyDescent="0.4">
      <c r="A231" s="20" t="s">
        <v>710</v>
      </c>
      <c r="B231" t="str">
        <f>IF(Synthese!O267,Synthese!G267,"")</f>
        <v>taubry1</v>
      </c>
      <c r="D231" t="str">
        <f t="shared" si="4"/>
        <v>VALIDATE</v>
      </c>
    </row>
    <row r="232" spans="1:4" x14ac:dyDescent="0.4">
      <c r="A232" s="20" t="s">
        <v>710</v>
      </c>
      <c r="B232" t="str">
        <f>IF(Synthese!O268,Synthese!G268,"")</f>
        <v>tguilbertselb</v>
      </c>
      <c r="D232" t="str">
        <f t="shared" si="4"/>
        <v>VALIDATE</v>
      </c>
    </row>
    <row r="233" spans="1:4" x14ac:dyDescent="0.4">
      <c r="A233" s="20" t="s">
        <v>710</v>
      </c>
      <c r="B233" t="str">
        <f>IF(Synthese!O269,Synthese!G269,"")</f>
        <v/>
      </c>
      <c r="D233" t="str">
        <f t="shared" si="4"/>
        <v/>
      </c>
    </row>
    <row r="234" spans="1:4" x14ac:dyDescent="0.4">
      <c r="A234" s="20" t="s">
        <v>710</v>
      </c>
      <c r="B234" t="str">
        <f>IF(Synthese!O270,Synthese!G270,"")</f>
        <v>tlemaire</v>
      </c>
      <c r="D234" t="str">
        <f t="shared" si="4"/>
        <v>VALIDATE</v>
      </c>
    </row>
    <row r="235" spans="1:4" x14ac:dyDescent="0.4">
      <c r="A235" s="20" t="s">
        <v>710</v>
      </c>
      <c r="B235" t="str">
        <f>IF(Synthese!O271,Synthese!G271,"")</f>
        <v/>
      </c>
      <c r="D235" t="str">
        <f t="shared" si="4"/>
        <v/>
      </c>
    </row>
    <row r="236" spans="1:4" x14ac:dyDescent="0.4">
      <c r="A236" s="20" t="s">
        <v>710</v>
      </c>
      <c r="B236" t="str">
        <f>IF(Synthese!O272,Synthese!G272,"")</f>
        <v>twilson</v>
      </c>
      <c r="D236" t="str">
        <f t="shared" si="4"/>
        <v>VALIDATE</v>
      </c>
    </row>
    <row r="237" spans="1:4" x14ac:dyDescent="0.4">
      <c r="A237" s="20" t="s">
        <v>710</v>
      </c>
      <c r="B237" t="str">
        <f>IF(Synthese!O273,Synthese!G273,"")</f>
        <v>vamirtahmasseb</v>
      </c>
      <c r="D237" t="str">
        <f t="shared" si="4"/>
        <v>VALIDATE</v>
      </c>
    </row>
    <row r="238" spans="1:4" x14ac:dyDescent="0.4">
      <c r="A238" s="20" t="s">
        <v>710</v>
      </c>
      <c r="B238" t="str">
        <f>IF(Synthese!O274,Synthese!G274,"")</f>
        <v/>
      </c>
      <c r="D238" t="str">
        <f t="shared" si="4"/>
        <v/>
      </c>
    </row>
    <row r="239" spans="1:4" x14ac:dyDescent="0.4">
      <c r="A239" s="20" t="s">
        <v>710</v>
      </c>
      <c r="B239" t="str">
        <f>IF(Synthese!O275,Synthese!G275,"")</f>
        <v>vchauvet</v>
      </c>
      <c r="D239" t="str">
        <f t="shared" si="4"/>
        <v>VALIDATE</v>
      </c>
    </row>
    <row r="240" spans="1:4" x14ac:dyDescent="0.4">
      <c r="A240" s="20" t="s">
        <v>710</v>
      </c>
      <c r="B240" t="str">
        <f>IF(Synthese!O276,Synthese!G276,"")</f>
        <v>vconesa</v>
      </c>
      <c r="D240" t="str">
        <f t="shared" si="4"/>
        <v>VALIDATE</v>
      </c>
    </row>
    <row r="241" spans="1:4" x14ac:dyDescent="0.4">
      <c r="A241" s="20" t="s">
        <v>710</v>
      </c>
      <c r="B241" t="str">
        <f>IF(Synthese!O277,Synthese!G277,"")</f>
        <v>vdieny</v>
      </c>
      <c r="D241" t="str">
        <f t="shared" si="4"/>
        <v>VALIDATE</v>
      </c>
    </row>
    <row r="242" spans="1:4" x14ac:dyDescent="0.4">
      <c r="A242" s="20" t="s">
        <v>710</v>
      </c>
      <c r="B242" t="str">
        <f>IF(Synthese!O278,Synthese!G278,"")</f>
        <v/>
      </c>
      <c r="D242" t="str">
        <f t="shared" si="4"/>
        <v/>
      </c>
    </row>
    <row r="243" spans="1:4" x14ac:dyDescent="0.4">
      <c r="A243" s="20" t="s">
        <v>710</v>
      </c>
      <c r="B243" t="str">
        <f>IF(Synthese!O279,Synthese!G279,"")</f>
        <v>vgadin</v>
      </c>
      <c r="D243" t="str">
        <f t="shared" si="4"/>
        <v>VALIDATE</v>
      </c>
    </row>
    <row r="244" spans="1:4" x14ac:dyDescent="0.4">
      <c r="A244" s="20" t="s">
        <v>710</v>
      </c>
      <c r="B244" t="str">
        <f>IF(Synthese!O280,Synthese!G280,"")</f>
        <v>vharnois</v>
      </c>
      <c r="D244" t="str">
        <f t="shared" si="4"/>
        <v>VALIDATE</v>
      </c>
    </row>
    <row r="245" spans="1:4" x14ac:dyDescent="0.4">
      <c r="A245" s="20" t="s">
        <v>710</v>
      </c>
      <c r="B245" t="str">
        <f>IF(Synthese!O281,Synthese!G281,"")</f>
        <v/>
      </c>
      <c r="D245" t="str">
        <f t="shared" si="4"/>
        <v/>
      </c>
    </row>
    <row r="246" spans="1:4" x14ac:dyDescent="0.4">
      <c r="A246" s="20" t="s">
        <v>710</v>
      </c>
      <c r="B246" t="str">
        <f>IF(Synthese!O282,Synthese!G282,"")</f>
        <v>yamano</v>
      </c>
      <c r="D246" t="str">
        <f t="shared" si="4"/>
        <v>VALIDATE</v>
      </c>
    </row>
    <row r="247" spans="1:4" x14ac:dyDescent="0.4">
      <c r="A247" s="20" t="s">
        <v>710</v>
      </c>
      <c r="B247" t="str">
        <f>IF(Synthese!O283,Synthese!G283,"")</f>
        <v>ygomi</v>
      </c>
      <c r="D247" t="str">
        <f t="shared" si="4"/>
        <v>VALIDATE</v>
      </c>
    </row>
    <row r="248" spans="1:4" x14ac:dyDescent="0.4">
      <c r="A248" s="20" t="s">
        <v>710</v>
      </c>
      <c r="B248" t="str">
        <f>IF(Synthese!O284,Synthese!G284,"")</f>
        <v/>
      </c>
      <c r="D248" t="str">
        <f t="shared" si="4"/>
        <v/>
      </c>
    </row>
    <row r="249" spans="1:4" x14ac:dyDescent="0.4">
      <c r="A249" s="20" t="s">
        <v>710</v>
      </c>
      <c r="B249" t="str">
        <f>IF(Synthese!O285,Synthese!G285,"")</f>
        <v/>
      </c>
      <c r="D249" t="str">
        <f t="shared" si="4"/>
        <v/>
      </c>
    </row>
    <row r="250" spans="1:4" x14ac:dyDescent="0.4">
      <c r="A250" s="20" t="s">
        <v>710</v>
      </c>
      <c r="B250" t="str">
        <f>IF(Synthese!O286,Synthese!G286,"")</f>
        <v>zgogris</v>
      </c>
      <c r="D250" t="str">
        <f t="shared" si="4"/>
        <v>VALIDATE</v>
      </c>
    </row>
    <row r="251" spans="1:4" x14ac:dyDescent="0.4">
      <c r="A251" s="20" t="s">
        <v>710</v>
      </c>
      <c r="B251" t="str">
        <f>IF(Synthese!O287,Synthese!G287,"")</f>
        <v>zlyu</v>
      </c>
      <c r="D251" t="str">
        <f t="shared" si="4"/>
        <v>VALIDATE</v>
      </c>
    </row>
    <row r="252" spans="1:4" x14ac:dyDescent="0.4">
      <c r="A252" s="20"/>
    </row>
    <row r="253" spans="1:4" x14ac:dyDescent="0.4">
      <c r="A253" s="20"/>
    </row>
    <row r="254" spans="1:4" x14ac:dyDescent="0.4">
      <c r="A254" s="20"/>
    </row>
    <row r="255" spans="1:4" x14ac:dyDescent="0.4">
      <c r="A255" s="20"/>
    </row>
    <row r="256" spans="1:4" x14ac:dyDescent="0.4">
      <c r="A256" s="20"/>
    </row>
    <row r="257" spans="1:1" x14ac:dyDescent="0.4">
      <c r="A257" s="20"/>
    </row>
    <row r="258" spans="1:1" x14ac:dyDescent="0.4">
      <c r="A258" s="20"/>
    </row>
    <row r="259" spans="1:1" x14ac:dyDescent="0.4">
      <c r="A259" s="20"/>
    </row>
    <row r="260" spans="1:1" x14ac:dyDescent="0.4">
      <c r="A260" s="20"/>
    </row>
    <row r="261" spans="1:1" x14ac:dyDescent="0.4">
      <c r="A261" s="20"/>
    </row>
    <row r="262" spans="1:1" x14ac:dyDescent="0.4">
      <c r="A262" s="20"/>
    </row>
    <row r="263" spans="1:1" x14ac:dyDescent="0.4">
      <c r="A263" s="20"/>
    </row>
    <row r="264" spans="1:1" x14ac:dyDescent="0.4">
      <c r="A264" s="20"/>
    </row>
    <row r="265" spans="1:1" x14ac:dyDescent="0.4">
      <c r="A265" s="20"/>
    </row>
    <row r="266" spans="1:1" x14ac:dyDescent="0.4">
      <c r="A266" s="20"/>
    </row>
    <row r="267" spans="1:1" x14ac:dyDescent="0.4">
      <c r="A267" s="20"/>
    </row>
    <row r="268" spans="1:1" x14ac:dyDescent="0.4">
      <c r="A268" s="20"/>
    </row>
    <row r="269" spans="1:1" x14ac:dyDescent="0.4">
      <c r="A269" s="20"/>
    </row>
    <row r="270" spans="1:1" x14ac:dyDescent="0.4">
      <c r="A270" s="20"/>
    </row>
    <row r="271" spans="1:1" x14ac:dyDescent="0.4">
      <c r="A271" s="20"/>
    </row>
    <row r="272" spans="1:1" x14ac:dyDescent="0.4">
      <c r="A272" s="20"/>
    </row>
    <row r="273" spans="1:1" x14ac:dyDescent="0.4">
      <c r="A273" s="20"/>
    </row>
    <row r="274" spans="1:1" x14ac:dyDescent="0.4">
      <c r="A274" s="20"/>
    </row>
    <row r="275" spans="1:1" x14ac:dyDescent="0.4">
      <c r="A275" s="20"/>
    </row>
    <row r="276" spans="1:1" x14ac:dyDescent="0.4">
      <c r="A276" s="20"/>
    </row>
    <row r="277" spans="1:1" x14ac:dyDescent="0.4">
      <c r="A277" s="20"/>
    </row>
    <row r="278" spans="1:1" x14ac:dyDescent="0.4">
      <c r="A278" s="20"/>
    </row>
    <row r="279" spans="1:1" x14ac:dyDescent="0.4">
      <c r="A279" s="20"/>
    </row>
    <row r="280" spans="1:1" x14ac:dyDescent="0.4">
      <c r="A280" s="20"/>
    </row>
    <row r="281" spans="1:1" x14ac:dyDescent="0.4">
      <c r="A281" s="20"/>
    </row>
    <row r="282" spans="1:1" x14ac:dyDescent="0.4">
      <c r="A282" s="20"/>
    </row>
    <row r="283" spans="1:1" x14ac:dyDescent="0.4">
      <c r="A283" s="20"/>
    </row>
    <row r="284" spans="1:1" x14ac:dyDescent="0.4">
      <c r="A284" s="20"/>
    </row>
    <row r="285" spans="1:1" x14ac:dyDescent="0.4">
      <c r="A285" s="20"/>
    </row>
    <row r="286" spans="1:1" x14ac:dyDescent="0.4">
      <c r="A286" s="20"/>
    </row>
    <row r="287" spans="1:1" x14ac:dyDescent="0.4">
      <c r="A287" s="20"/>
    </row>
    <row r="288" spans="1:1" x14ac:dyDescent="0.4">
      <c r="A288" s="20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5078-A1FB-47E7-9C46-BAF0C208EB68}">
  <dimension ref="E2:V289"/>
  <sheetViews>
    <sheetView topLeftCell="A25" zoomScaleNormal="100" workbookViewId="0">
      <selection activeCell="P40" sqref="P40:P285"/>
    </sheetView>
  </sheetViews>
  <sheetFormatPr baseColWidth="10" defaultRowHeight="14.6" x14ac:dyDescent="0.4"/>
  <cols>
    <col min="2" max="2" width="8.84375" bestFit="1" customWidth="1"/>
    <col min="3" max="3" width="3.4609375" customWidth="1"/>
    <col min="4" max="4" width="4.84375" customWidth="1"/>
    <col min="5" max="5" width="3.53515625" customWidth="1"/>
    <col min="6" max="6" width="3.23046875" customWidth="1"/>
    <col min="7" max="7" width="17.69140625" bestFit="1" customWidth="1"/>
    <col min="8" max="10" width="19" bestFit="1" customWidth="1"/>
    <col min="11" max="13" width="11.53515625" bestFit="1" customWidth="1"/>
    <col min="14" max="14" width="7.07421875" customWidth="1"/>
    <col min="15" max="15" width="5.921875" customWidth="1"/>
    <col min="18" max="18" width="17.765625" bestFit="1" customWidth="1"/>
    <col min="19" max="20" width="15.69140625" bestFit="1" customWidth="1"/>
    <col min="21" max="21" width="13.15234375" bestFit="1" customWidth="1"/>
    <col min="22" max="22" width="5.07421875" bestFit="1" customWidth="1"/>
    <col min="23" max="23" width="5.23046875" bestFit="1" customWidth="1"/>
  </cols>
  <sheetData>
    <row r="2" spans="5:15" x14ac:dyDescent="0.4">
      <c r="E2" s="3"/>
    </row>
    <row r="4" spans="5:15" x14ac:dyDescent="0.4">
      <c r="G4" s="21" t="s">
        <v>615</v>
      </c>
      <c r="H4" s="21" t="s">
        <v>8</v>
      </c>
      <c r="I4" s="22"/>
      <c r="J4" s="22"/>
      <c r="K4" s="23"/>
    </row>
    <row r="5" spans="5:15" x14ac:dyDescent="0.4">
      <c r="G5" s="21" t="s">
        <v>0</v>
      </c>
      <c r="H5" s="24" t="s">
        <v>14</v>
      </c>
      <c r="I5" s="25" t="s">
        <v>18</v>
      </c>
      <c r="J5" s="25" t="s">
        <v>613</v>
      </c>
      <c r="K5" s="26" t="s">
        <v>614</v>
      </c>
    </row>
    <row r="6" spans="5:15" x14ac:dyDescent="0.4">
      <c r="G6" s="24">
        <v>102753</v>
      </c>
      <c r="H6" s="24">
        <v>64</v>
      </c>
      <c r="I6" s="25">
        <v>147</v>
      </c>
      <c r="J6" s="25"/>
      <c r="K6" s="26">
        <v>211</v>
      </c>
      <c r="O6" t="s">
        <v>617</v>
      </c>
    </row>
    <row r="7" spans="5:15" x14ac:dyDescent="0.4">
      <c r="G7" s="28">
        <v>102916</v>
      </c>
      <c r="H7" s="28">
        <v>68</v>
      </c>
      <c r="I7">
        <v>150</v>
      </c>
      <c r="K7" s="33">
        <v>218</v>
      </c>
    </row>
    <row r="8" spans="5:15" x14ac:dyDescent="0.4">
      <c r="G8" s="28">
        <v>104550</v>
      </c>
      <c r="H8" s="28">
        <v>65</v>
      </c>
      <c r="I8">
        <v>166</v>
      </c>
      <c r="K8" s="33">
        <v>231</v>
      </c>
    </row>
    <row r="9" spans="5:15" x14ac:dyDescent="0.4">
      <c r="G9" s="28">
        <v>104551</v>
      </c>
      <c r="H9" s="28">
        <v>59</v>
      </c>
      <c r="I9">
        <v>170</v>
      </c>
      <c r="K9" s="33">
        <v>229</v>
      </c>
      <c r="O9" t="s">
        <v>618</v>
      </c>
    </row>
    <row r="10" spans="5:15" x14ac:dyDescent="0.4">
      <c r="G10" s="28">
        <v>104855</v>
      </c>
      <c r="H10" s="28">
        <v>48</v>
      </c>
      <c r="I10">
        <v>158</v>
      </c>
      <c r="K10" s="33">
        <v>206</v>
      </c>
    </row>
    <row r="11" spans="5:15" x14ac:dyDescent="0.4">
      <c r="G11" s="28">
        <v>104959</v>
      </c>
      <c r="H11" s="28">
        <v>68</v>
      </c>
      <c r="I11">
        <v>174</v>
      </c>
      <c r="K11" s="33">
        <v>242</v>
      </c>
    </row>
    <row r="12" spans="5:15" x14ac:dyDescent="0.4">
      <c r="G12" s="31" t="s">
        <v>613</v>
      </c>
      <c r="H12" s="31"/>
      <c r="I12" s="34"/>
      <c r="J12" s="34"/>
      <c r="K12" s="35"/>
    </row>
    <row r="14" spans="5:15" x14ac:dyDescent="0.4">
      <c r="H14">
        <f>AVERAGE(H6:H11)</f>
        <v>62</v>
      </c>
      <c r="I14">
        <f>AVERAGE(I6:I11)</f>
        <v>160.83333333333334</v>
      </c>
    </row>
    <row r="35" spans="7:22" x14ac:dyDescent="0.4">
      <c r="G35" s="21" t="s">
        <v>616</v>
      </c>
      <c r="H35" s="22"/>
      <c r="I35" s="21" t="s">
        <v>8</v>
      </c>
      <c r="J35" s="22"/>
      <c r="K35" s="22"/>
      <c r="L35" s="23"/>
      <c r="O35" t="s">
        <v>756</v>
      </c>
      <c r="P35" t="s">
        <v>757</v>
      </c>
    </row>
    <row r="36" spans="7:22" x14ac:dyDescent="0.4">
      <c r="G36" s="21" t="s">
        <v>6</v>
      </c>
      <c r="H36" s="21" t="s">
        <v>7</v>
      </c>
      <c r="I36" s="24" t="s">
        <v>14</v>
      </c>
      <c r="J36" s="25" t="s">
        <v>18</v>
      </c>
      <c r="K36" s="25" t="s">
        <v>613</v>
      </c>
      <c r="L36" s="26" t="s">
        <v>614</v>
      </c>
      <c r="N36">
        <f>SUM(N37:N289)</f>
        <v>211</v>
      </c>
      <c r="O36">
        <f>SUM(O37:O289)</f>
        <v>145</v>
      </c>
      <c r="R36" s="21" t="s">
        <v>615</v>
      </c>
      <c r="S36" s="22"/>
      <c r="T36" s="22"/>
      <c r="U36" s="22"/>
      <c r="V36" s="26"/>
    </row>
    <row r="37" spans="7:22" x14ac:dyDescent="0.4">
      <c r="G37" s="24" t="s">
        <v>739</v>
      </c>
      <c r="H37" s="24" t="s">
        <v>613</v>
      </c>
      <c r="I37" s="24"/>
      <c r="J37" s="25">
        <v>1</v>
      </c>
      <c r="K37" s="25"/>
      <c r="L37" s="26">
        <v>1</v>
      </c>
      <c r="N37">
        <f>IF(L37&gt;4,1,0)</f>
        <v>0</v>
      </c>
      <c r="O37" t="str">
        <f t="shared" ref="O37" si="0">IF(AND(I37&gt;1,I37&lt;5),G37,"")</f>
        <v/>
      </c>
      <c r="P37" t="str">
        <f>IF(OR(ISBLANK(J37),J37&lt;5),G37,"")</f>
        <v>a</v>
      </c>
      <c r="R37" s="21" t="s">
        <v>0</v>
      </c>
      <c r="S37" s="21" t="s">
        <v>749</v>
      </c>
      <c r="T37" s="21" t="s">
        <v>2</v>
      </c>
      <c r="U37" s="21" t="s">
        <v>3</v>
      </c>
      <c r="V37" s="26" t="s">
        <v>745</v>
      </c>
    </row>
    <row r="38" spans="7:22" x14ac:dyDescent="0.4">
      <c r="G38" s="24" t="s">
        <v>11</v>
      </c>
      <c r="H38" s="24" t="s">
        <v>13</v>
      </c>
      <c r="I38" s="24"/>
      <c r="J38" s="25">
        <v>6</v>
      </c>
      <c r="K38" s="25"/>
      <c r="L38" s="26">
        <v>6</v>
      </c>
      <c r="N38">
        <f t="shared" ref="N38:N101" si="1">IF(L38&gt;4,1,0)</f>
        <v>1</v>
      </c>
      <c r="O38">
        <f>IF(J38&gt;4,1,0)</f>
        <v>1</v>
      </c>
      <c r="P38" t="str">
        <f t="shared" ref="P38:P101" si="2">IF(OR(ISBLANK(J38),J38&lt;5),G38,"")</f>
        <v/>
      </c>
      <c r="R38" s="24">
        <v>102753</v>
      </c>
      <c r="S38" s="24" t="s">
        <v>750</v>
      </c>
      <c r="T38" s="22"/>
      <c r="U38" s="22"/>
      <c r="V38" s="26">
        <v>211</v>
      </c>
    </row>
    <row r="39" spans="7:22" x14ac:dyDescent="0.4">
      <c r="G39" s="24" t="s">
        <v>15</v>
      </c>
      <c r="H39" s="24" t="s">
        <v>17</v>
      </c>
      <c r="I39" s="24">
        <v>1</v>
      </c>
      <c r="J39" s="25">
        <v>5</v>
      </c>
      <c r="K39" s="25"/>
      <c r="L39" s="26">
        <v>6</v>
      </c>
      <c r="N39">
        <f t="shared" si="1"/>
        <v>1</v>
      </c>
      <c r="O39">
        <f t="shared" ref="O39:O102" si="3">IF(J39&gt;4,1,0)</f>
        <v>1</v>
      </c>
      <c r="P39" t="str">
        <f t="shared" si="2"/>
        <v/>
      </c>
      <c r="R39" s="24">
        <v>102916</v>
      </c>
      <c r="S39" s="24" t="s">
        <v>748</v>
      </c>
      <c r="T39" s="22"/>
      <c r="U39" s="22"/>
      <c r="V39" s="26">
        <v>217</v>
      </c>
    </row>
    <row r="40" spans="7:22" x14ac:dyDescent="0.4">
      <c r="G40" s="24" t="s">
        <v>19</v>
      </c>
      <c r="H40" s="24" t="s">
        <v>21</v>
      </c>
      <c r="I40" s="24">
        <v>6</v>
      </c>
      <c r="J40" s="25"/>
      <c r="K40" s="25"/>
      <c r="L40" s="26">
        <v>6</v>
      </c>
      <c r="N40">
        <f t="shared" si="1"/>
        <v>1</v>
      </c>
      <c r="O40">
        <f t="shared" si="3"/>
        <v>0</v>
      </c>
      <c r="P40" t="str">
        <f t="shared" si="2"/>
        <v>abomont</v>
      </c>
      <c r="R40" s="27"/>
      <c r="S40" s="24" t="s">
        <v>750</v>
      </c>
      <c r="T40" s="22"/>
      <c r="U40" s="22"/>
      <c r="V40" s="26">
        <v>1</v>
      </c>
    </row>
    <row r="41" spans="7:22" x14ac:dyDescent="0.4">
      <c r="G41" s="24" t="s">
        <v>22</v>
      </c>
      <c r="H41" s="24" t="s">
        <v>24</v>
      </c>
      <c r="I41" s="24"/>
      <c r="J41" s="25">
        <v>6</v>
      </c>
      <c r="K41" s="25"/>
      <c r="L41" s="26">
        <v>6</v>
      </c>
      <c r="N41">
        <f t="shared" si="1"/>
        <v>1</v>
      </c>
      <c r="O41">
        <f t="shared" si="3"/>
        <v>1</v>
      </c>
      <c r="P41" t="str">
        <f t="shared" si="2"/>
        <v/>
      </c>
      <c r="R41" s="24">
        <v>104550</v>
      </c>
      <c r="S41" s="24" t="s">
        <v>747</v>
      </c>
      <c r="T41" s="22"/>
      <c r="U41" s="22"/>
      <c r="V41" s="26">
        <v>18</v>
      </c>
    </row>
    <row r="42" spans="7:22" x14ac:dyDescent="0.4">
      <c r="G42" s="24" t="s">
        <v>25</v>
      </c>
      <c r="H42" s="24" t="s">
        <v>26</v>
      </c>
      <c r="I42" s="24"/>
      <c r="J42" s="25">
        <v>6</v>
      </c>
      <c r="K42" s="25"/>
      <c r="L42" s="26">
        <v>6</v>
      </c>
      <c r="N42">
        <f t="shared" si="1"/>
        <v>1</v>
      </c>
      <c r="O42">
        <f t="shared" si="3"/>
        <v>1</v>
      </c>
      <c r="P42" t="str">
        <f t="shared" si="2"/>
        <v/>
      </c>
      <c r="R42" s="27"/>
      <c r="S42" s="24" t="s">
        <v>748</v>
      </c>
      <c r="T42" s="22"/>
      <c r="U42" s="22"/>
      <c r="V42" s="26">
        <v>1</v>
      </c>
    </row>
    <row r="43" spans="7:22" x14ac:dyDescent="0.4">
      <c r="G43" s="24" t="s">
        <v>27</v>
      </c>
      <c r="H43" s="24" t="s">
        <v>29</v>
      </c>
      <c r="I43" s="24"/>
      <c r="J43" s="25">
        <v>6</v>
      </c>
      <c r="K43" s="25"/>
      <c r="L43" s="26">
        <v>6</v>
      </c>
      <c r="N43">
        <f t="shared" si="1"/>
        <v>1</v>
      </c>
      <c r="O43">
        <f t="shared" si="3"/>
        <v>1</v>
      </c>
      <c r="P43" t="str">
        <f t="shared" si="2"/>
        <v/>
      </c>
      <c r="R43" s="27"/>
      <c r="S43" s="24" t="s">
        <v>750</v>
      </c>
      <c r="T43" s="22"/>
      <c r="U43" s="22"/>
      <c r="V43" s="26">
        <v>212</v>
      </c>
    </row>
    <row r="44" spans="7:22" x14ac:dyDescent="0.4">
      <c r="G44" s="24" t="s">
        <v>30</v>
      </c>
      <c r="H44" s="24" t="s">
        <v>32</v>
      </c>
      <c r="I44" s="24"/>
      <c r="J44" s="25">
        <v>6</v>
      </c>
      <c r="K44" s="25"/>
      <c r="L44" s="26">
        <v>6</v>
      </c>
      <c r="N44">
        <f t="shared" si="1"/>
        <v>1</v>
      </c>
      <c r="O44">
        <f t="shared" si="3"/>
        <v>1</v>
      </c>
      <c r="P44" t="str">
        <f t="shared" si="2"/>
        <v/>
      </c>
      <c r="R44" s="24">
        <v>104551</v>
      </c>
      <c r="S44" s="24" t="s">
        <v>747</v>
      </c>
      <c r="T44" s="22"/>
      <c r="U44" s="22"/>
      <c r="V44" s="26">
        <v>18</v>
      </c>
    </row>
    <row r="45" spans="7:22" x14ac:dyDescent="0.4">
      <c r="G45" s="24" t="s">
        <v>33</v>
      </c>
      <c r="H45" s="24" t="s">
        <v>35</v>
      </c>
      <c r="I45" s="24"/>
      <c r="J45" s="25">
        <v>6</v>
      </c>
      <c r="K45" s="25"/>
      <c r="L45" s="26">
        <v>6</v>
      </c>
      <c r="N45">
        <f t="shared" si="1"/>
        <v>1</v>
      </c>
      <c r="O45">
        <f t="shared" si="3"/>
        <v>1</v>
      </c>
      <c r="P45" t="str">
        <f t="shared" si="2"/>
        <v/>
      </c>
      <c r="R45" s="27"/>
      <c r="S45" s="24" t="s">
        <v>751</v>
      </c>
      <c r="T45" s="22"/>
      <c r="U45" s="22"/>
      <c r="V45" s="26">
        <v>211</v>
      </c>
    </row>
    <row r="46" spans="7:22" x14ac:dyDescent="0.4">
      <c r="G46" s="24" t="s">
        <v>36</v>
      </c>
      <c r="H46" s="24" t="s">
        <v>38</v>
      </c>
      <c r="I46" s="24">
        <v>1</v>
      </c>
      <c r="J46" s="25">
        <v>5</v>
      </c>
      <c r="K46" s="25"/>
      <c r="L46" s="26">
        <v>6</v>
      </c>
      <c r="N46">
        <f t="shared" si="1"/>
        <v>1</v>
      </c>
      <c r="O46">
        <f t="shared" si="3"/>
        <v>1</v>
      </c>
      <c r="P46" t="str">
        <f t="shared" si="2"/>
        <v/>
      </c>
      <c r="R46" s="24">
        <v>104855</v>
      </c>
      <c r="S46" s="24" t="s">
        <v>747</v>
      </c>
      <c r="T46" s="22"/>
      <c r="U46" s="22"/>
      <c r="V46" s="26">
        <v>18</v>
      </c>
    </row>
    <row r="47" spans="7:22" x14ac:dyDescent="0.4">
      <c r="G47" s="24" t="s">
        <v>39</v>
      </c>
      <c r="H47" s="24" t="s">
        <v>41</v>
      </c>
      <c r="I47" s="24"/>
      <c r="J47" s="25">
        <v>6</v>
      </c>
      <c r="K47" s="25"/>
      <c r="L47" s="26">
        <v>6</v>
      </c>
      <c r="N47">
        <f t="shared" si="1"/>
        <v>1</v>
      </c>
      <c r="O47">
        <f t="shared" si="3"/>
        <v>1</v>
      </c>
      <c r="P47" t="str">
        <f t="shared" si="2"/>
        <v/>
      </c>
      <c r="R47" s="27"/>
      <c r="S47" s="24" t="s">
        <v>752</v>
      </c>
      <c r="T47" s="22"/>
      <c r="U47" s="22"/>
      <c r="V47" s="26">
        <v>188</v>
      </c>
    </row>
    <row r="48" spans="7:22" x14ac:dyDescent="0.4">
      <c r="G48" s="24" t="s">
        <v>42</v>
      </c>
      <c r="H48" s="24" t="s">
        <v>44</v>
      </c>
      <c r="I48" s="24">
        <v>6</v>
      </c>
      <c r="J48" s="25"/>
      <c r="K48" s="25"/>
      <c r="L48" s="26">
        <v>6</v>
      </c>
      <c r="N48">
        <f t="shared" si="1"/>
        <v>1</v>
      </c>
      <c r="O48">
        <f t="shared" si="3"/>
        <v>0</v>
      </c>
      <c r="P48" t="str">
        <f t="shared" si="2"/>
        <v>agautier</v>
      </c>
      <c r="R48" s="24">
        <v>104959</v>
      </c>
      <c r="S48" s="24" t="s">
        <v>747</v>
      </c>
      <c r="T48" s="22"/>
      <c r="U48" s="22"/>
      <c r="V48" s="26">
        <v>36</v>
      </c>
    </row>
    <row r="49" spans="7:22" x14ac:dyDescent="0.4">
      <c r="G49" s="24" t="s">
        <v>45</v>
      </c>
      <c r="H49" s="24" t="s">
        <v>47</v>
      </c>
      <c r="I49" s="24">
        <v>5</v>
      </c>
      <c r="J49" s="25">
        <v>1</v>
      </c>
      <c r="K49" s="25"/>
      <c r="L49" s="26">
        <v>6</v>
      </c>
      <c r="N49">
        <f t="shared" si="1"/>
        <v>1</v>
      </c>
      <c r="O49">
        <f t="shared" si="3"/>
        <v>0</v>
      </c>
      <c r="P49" t="str">
        <f t="shared" si="2"/>
        <v>agrizard</v>
      </c>
      <c r="R49" s="27"/>
      <c r="S49" s="24" t="s">
        <v>746</v>
      </c>
      <c r="T49" s="22"/>
      <c r="U49" s="22"/>
      <c r="V49" s="26">
        <v>206</v>
      </c>
    </row>
    <row r="50" spans="7:22" x14ac:dyDescent="0.4">
      <c r="G50" s="24" t="s">
        <v>48</v>
      </c>
      <c r="H50" s="24" t="s">
        <v>50</v>
      </c>
      <c r="I50" s="24"/>
      <c r="J50" s="25">
        <v>6</v>
      </c>
      <c r="K50" s="25"/>
      <c r="L50" s="26">
        <v>6</v>
      </c>
      <c r="N50">
        <f t="shared" si="1"/>
        <v>1</v>
      </c>
      <c r="O50">
        <f t="shared" si="3"/>
        <v>1</v>
      </c>
      <c r="P50" t="str">
        <f t="shared" si="2"/>
        <v/>
      </c>
      <c r="R50" s="29" t="s">
        <v>613</v>
      </c>
      <c r="S50" s="29" t="s">
        <v>747</v>
      </c>
      <c r="T50" s="30"/>
      <c r="U50" s="30"/>
      <c r="V50" s="3"/>
    </row>
    <row r="51" spans="7:22" x14ac:dyDescent="0.4">
      <c r="G51" s="24" t="s">
        <v>51</v>
      </c>
      <c r="H51" s="24" t="s">
        <v>53</v>
      </c>
      <c r="I51" s="24"/>
      <c r="J51" s="25">
        <v>6</v>
      </c>
      <c r="K51" s="25"/>
      <c r="L51" s="26">
        <v>6</v>
      </c>
      <c r="N51">
        <f t="shared" si="1"/>
        <v>1</v>
      </c>
      <c r="O51">
        <f t="shared" si="3"/>
        <v>1</v>
      </c>
      <c r="P51" t="str">
        <f t="shared" si="2"/>
        <v/>
      </c>
    </row>
    <row r="52" spans="7:22" x14ac:dyDescent="0.4">
      <c r="G52" s="24" t="s">
        <v>54</v>
      </c>
      <c r="H52" s="24" t="s">
        <v>56</v>
      </c>
      <c r="I52" s="24"/>
      <c r="J52" s="25">
        <v>6</v>
      </c>
      <c r="K52" s="25"/>
      <c r="L52" s="26">
        <v>6</v>
      </c>
      <c r="N52">
        <f t="shared" si="1"/>
        <v>1</v>
      </c>
      <c r="O52">
        <f t="shared" si="3"/>
        <v>1</v>
      </c>
      <c r="P52" t="str">
        <f t="shared" si="2"/>
        <v/>
      </c>
    </row>
    <row r="53" spans="7:22" x14ac:dyDescent="0.4">
      <c r="G53" s="24" t="s">
        <v>57</v>
      </c>
      <c r="H53" s="24" t="s">
        <v>58</v>
      </c>
      <c r="I53" s="24">
        <v>1</v>
      </c>
      <c r="J53" s="25">
        <v>5</v>
      </c>
      <c r="K53" s="25"/>
      <c r="L53" s="26">
        <v>6</v>
      </c>
      <c r="N53">
        <f t="shared" si="1"/>
        <v>1</v>
      </c>
      <c r="O53">
        <f t="shared" si="3"/>
        <v>1</v>
      </c>
      <c r="P53" t="str">
        <f t="shared" si="2"/>
        <v/>
      </c>
    </row>
    <row r="54" spans="7:22" x14ac:dyDescent="0.4">
      <c r="G54" s="24" t="s">
        <v>59</v>
      </c>
      <c r="H54" s="24" t="s">
        <v>61</v>
      </c>
      <c r="I54" s="24"/>
      <c r="J54" s="25">
        <v>6</v>
      </c>
      <c r="K54" s="25"/>
      <c r="L54" s="26">
        <v>6</v>
      </c>
      <c r="N54">
        <f t="shared" si="1"/>
        <v>1</v>
      </c>
      <c r="O54">
        <f t="shared" si="3"/>
        <v>1</v>
      </c>
      <c r="P54" t="str">
        <f t="shared" si="2"/>
        <v/>
      </c>
    </row>
    <row r="55" spans="7:22" x14ac:dyDescent="0.4">
      <c r="G55" s="24" t="s">
        <v>728</v>
      </c>
      <c r="H55" s="24" t="s">
        <v>683</v>
      </c>
      <c r="I55" s="24"/>
      <c r="J55" s="25">
        <v>3</v>
      </c>
      <c r="K55" s="25"/>
      <c r="L55" s="26">
        <v>3</v>
      </c>
      <c r="N55">
        <f t="shared" si="1"/>
        <v>0</v>
      </c>
      <c r="O55">
        <f t="shared" si="3"/>
        <v>0</v>
      </c>
      <c r="P55" t="str">
        <f t="shared" si="2"/>
        <v>alhomme</v>
      </c>
    </row>
    <row r="56" spans="7:22" x14ac:dyDescent="0.4">
      <c r="G56" s="24" t="s">
        <v>62</v>
      </c>
      <c r="H56" s="24" t="s">
        <v>64</v>
      </c>
      <c r="I56" s="24"/>
      <c r="J56" s="25">
        <v>6</v>
      </c>
      <c r="K56" s="25"/>
      <c r="L56" s="26">
        <v>6</v>
      </c>
      <c r="N56">
        <f t="shared" si="1"/>
        <v>1</v>
      </c>
      <c r="O56">
        <f t="shared" si="3"/>
        <v>1</v>
      </c>
      <c r="P56" t="str">
        <f t="shared" si="2"/>
        <v/>
      </c>
    </row>
    <row r="57" spans="7:22" x14ac:dyDescent="0.4">
      <c r="G57" s="24" t="s">
        <v>65</v>
      </c>
      <c r="H57" s="24" t="s">
        <v>67</v>
      </c>
      <c r="I57" s="24"/>
      <c r="J57" s="25">
        <v>6</v>
      </c>
      <c r="K57" s="25"/>
      <c r="L57" s="26">
        <v>6</v>
      </c>
      <c r="N57">
        <f t="shared" si="1"/>
        <v>1</v>
      </c>
      <c r="O57">
        <f t="shared" si="3"/>
        <v>1</v>
      </c>
      <c r="P57" t="str">
        <f t="shared" si="2"/>
        <v/>
      </c>
    </row>
    <row r="58" spans="7:22" x14ac:dyDescent="0.4">
      <c r="G58" s="24" t="s">
        <v>68</v>
      </c>
      <c r="H58" s="24" t="s">
        <v>70</v>
      </c>
      <c r="I58" s="24"/>
      <c r="J58" s="25">
        <v>6</v>
      </c>
      <c r="K58" s="25"/>
      <c r="L58" s="26">
        <v>6</v>
      </c>
      <c r="N58">
        <f t="shared" si="1"/>
        <v>1</v>
      </c>
      <c r="O58">
        <f t="shared" si="3"/>
        <v>1</v>
      </c>
      <c r="P58" t="str">
        <f t="shared" si="2"/>
        <v/>
      </c>
    </row>
    <row r="59" spans="7:22" x14ac:dyDescent="0.4">
      <c r="G59" s="24" t="s">
        <v>71</v>
      </c>
      <c r="H59" s="24" t="s">
        <v>73</v>
      </c>
      <c r="I59" s="24"/>
      <c r="J59" s="25">
        <v>6</v>
      </c>
      <c r="K59" s="25"/>
      <c r="L59" s="26">
        <v>6</v>
      </c>
      <c r="N59">
        <f t="shared" si="1"/>
        <v>1</v>
      </c>
      <c r="O59">
        <f t="shared" si="3"/>
        <v>1</v>
      </c>
      <c r="P59" t="str">
        <f t="shared" si="2"/>
        <v/>
      </c>
    </row>
    <row r="60" spans="7:22" x14ac:dyDescent="0.4">
      <c r="G60" s="24" t="s">
        <v>74</v>
      </c>
      <c r="H60" s="24" t="s">
        <v>76</v>
      </c>
      <c r="I60" s="24"/>
      <c r="J60" s="25">
        <v>6</v>
      </c>
      <c r="K60" s="25"/>
      <c r="L60" s="26">
        <v>6</v>
      </c>
      <c r="N60">
        <f t="shared" si="1"/>
        <v>1</v>
      </c>
      <c r="O60">
        <f t="shared" si="3"/>
        <v>1</v>
      </c>
      <c r="P60" t="str">
        <f t="shared" si="2"/>
        <v/>
      </c>
    </row>
    <row r="61" spans="7:22" x14ac:dyDescent="0.4">
      <c r="G61" s="24" t="s">
        <v>77</v>
      </c>
      <c r="H61" s="24" t="s">
        <v>79</v>
      </c>
      <c r="I61" s="24">
        <v>6</v>
      </c>
      <c r="J61" s="25"/>
      <c r="K61" s="25"/>
      <c r="L61" s="26">
        <v>6</v>
      </c>
      <c r="N61">
        <f t="shared" si="1"/>
        <v>1</v>
      </c>
      <c r="O61">
        <f t="shared" si="3"/>
        <v>0</v>
      </c>
      <c r="P61" t="str">
        <f t="shared" si="2"/>
        <v>aolech</v>
      </c>
    </row>
    <row r="62" spans="7:22" x14ac:dyDescent="0.4">
      <c r="G62" s="24" t="s">
        <v>80</v>
      </c>
      <c r="H62" s="24" t="s">
        <v>82</v>
      </c>
      <c r="I62" s="24"/>
      <c r="J62" s="25">
        <v>6</v>
      </c>
      <c r="K62" s="25"/>
      <c r="L62" s="26">
        <v>6</v>
      </c>
      <c r="N62">
        <f t="shared" si="1"/>
        <v>1</v>
      </c>
      <c r="O62">
        <f t="shared" si="3"/>
        <v>1</v>
      </c>
      <c r="P62" t="str">
        <f t="shared" si="2"/>
        <v/>
      </c>
    </row>
    <row r="63" spans="7:22" x14ac:dyDescent="0.4">
      <c r="G63" s="24" t="s">
        <v>83</v>
      </c>
      <c r="H63" s="24" t="s">
        <v>84</v>
      </c>
      <c r="I63" s="24">
        <v>1</v>
      </c>
      <c r="J63" s="25">
        <v>5</v>
      </c>
      <c r="K63" s="25"/>
      <c r="L63" s="26">
        <v>6</v>
      </c>
      <c r="N63">
        <f t="shared" si="1"/>
        <v>1</v>
      </c>
      <c r="O63">
        <f t="shared" si="3"/>
        <v>1</v>
      </c>
      <c r="P63" t="str">
        <f t="shared" si="2"/>
        <v/>
      </c>
    </row>
    <row r="64" spans="7:22" x14ac:dyDescent="0.4">
      <c r="G64" s="24" t="s">
        <v>627</v>
      </c>
      <c r="H64" s="24" t="s">
        <v>625</v>
      </c>
      <c r="I64" s="24"/>
      <c r="J64" s="25">
        <v>1</v>
      </c>
      <c r="K64" s="25"/>
      <c r="L64" s="26">
        <v>1</v>
      </c>
      <c r="N64">
        <f t="shared" si="1"/>
        <v>0</v>
      </c>
      <c r="O64">
        <f t="shared" si="3"/>
        <v>0</v>
      </c>
      <c r="P64" t="str">
        <f t="shared" si="2"/>
        <v>apollier</v>
      </c>
    </row>
    <row r="65" spans="7:16" x14ac:dyDescent="0.4">
      <c r="G65" s="24" t="s">
        <v>732</v>
      </c>
      <c r="H65" s="24" t="s">
        <v>692</v>
      </c>
      <c r="I65" s="24"/>
      <c r="J65" s="25">
        <v>2</v>
      </c>
      <c r="K65" s="25"/>
      <c r="L65" s="26">
        <v>2</v>
      </c>
      <c r="N65">
        <f t="shared" si="1"/>
        <v>0</v>
      </c>
      <c r="O65">
        <f t="shared" si="3"/>
        <v>0</v>
      </c>
      <c r="P65" t="str">
        <f t="shared" si="2"/>
        <v>arajaobelina</v>
      </c>
    </row>
    <row r="66" spans="7:16" x14ac:dyDescent="0.4">
      <c r="G66" s="24" t="s">
        <v>85</v>
      </c>
      <c r="H66" s="24" t="s">
        <v>86</v>
      </c>
      <c r="I66" s="24">
        <v>1</v>
      </c>
      <c r="J66" s="25">
        <v>5</v>
      </c>
      <c r="K66" s="25"/>
      <c r="L66" s="26">
        <v>6</v>
      </c>
      <c r="N66">
        <f t="shared" si="1"/>
        <v>1</v>
      </c>
      <c r="O66">
        <f t="shared" si="3"/>
        <v>1</v>
      </c>
      <c r="P66" t="str">
        <f t="shared" si="2"/>
        <v/>
      </c>
    </row>
    <row r="67" spans="7:16" x14ac:dyDescent="0.4">
      <c r="G67" s="24" t="s">
        <v>87</v>
      </c>
      <c r="H67" s="24" t="s">
        <v>89</v>
      </c>
      <c r="I67" s="24"/>
      <c r="J67" s="25">
        <v>6</v>
      </c>
      <c r="K67" s="25"/>
      <c r="L67" s="26">
        <v>6</v>
      </c>
      <c r="N67">
        <f t="shared" si="1"/>
        <v>1</v>
      </c>
      <c r="O67">
        <f t="shared" si="3"/>
        <v>1</v>
      </c>
      <c r="P67" t="str">
        <f t="shared" si="2"/>
        <v/>
      </c>
    </row>
    <row r="68" spans="7:16" x14ac:dyDescent="0.4">
      <c r="G68" s="24" t="s">
        <v>90</v>
      </c>
      <c r="H68" s="24" t="s">
        <v>92</v>
      </c>
      <c r="I68" s="24">
        <v>6</v>
      </c>
      <c r="J68" s="25"/>
      <c r="K68" s="25"/>
      <c r="L68" s="26">
        <v>6</v>
      </c>
      <c r="N68">
        <f t="shared" si="1"/>
        <v>1</v>
      </c>
      <c r="O68">
        <f t="shared" si="3"/>
        <v>0</v>
      </c>
      <c r="P68" t="str">
        <f t="shared" si="2"/>
        <v>atorres</v>
      </c>
    </row>
    <row r="69" spans="7:16" x14ac:dyDescent="0.4">
      <c r="G69" s="24" t="s">
        <v>93</v>
      </c>
      <c r="H69" s="24" t="s">
        <v>95</v>
      </c>
      <c r="I69" s="24">
        <v>6</v>
      </c>
      <c r="J69" s="25"/>
      <c r="K69" s="25"/>
      <c r="L69" s="26">
        <v>6</v>
      </c>
      <c r="N69">
        <f t="shared" si="1"/>
        <v>1</v>
      </c>
      <c r="O69">
        <f t="shared" si="3"/>
        <v>0</v>
      </c>
      <c r="P69" t="str">
        <f t="shared" si="2"/>
        <v>bnaji</v>
      </c>
    </row>
    <row r="70" spans="7:16" x14ac:dyDescent="0.4">
      <c r="G70" s="24" t="s">
        <v>96</v>
      </c>
      <c r="H70" s="24" t="s">
        <v>98</v>
      </c>
      <c r="I70" s="24"/>
      <c r="J70" s="25">
        <v>6</v>
      </c>
      <c r="K70" s="25"/>
      <c r="L70" s="26">
        <v>6</v>
      </c>
      <c r="N70">
        <f t="shared" si="1"/>
        <v>1</v>
      </c>
      <c r="O70">
        <f t="shared" si="3"/>
        <v>1</v>
      </c>
      <c r="P70" t="str">
        <f t="shared" si="2"/>
        <v/>
      </c>
    </row>
    <row r="71" spans="7:16" x14ac:dyDescent="0.4">
      <c r="G71" s="24" t="s">
        <v>99</v>
      </c>
      <c r="H71" s="24" t="s">
        <v>101</v>
      </c>
      <c r="I71" s="24"/>
      <c r="J71" s="25">
        <v>6</v>
      </c>
      <c r="K71" s="25"/>
      <c r="L71" s="26">
        <v>6</v>
      </c>
      <c r="N71">
        <f t="shared" si="1"/>
        <v>1</v>
      </c>
      <c r="O71">
        <f t="shared" si="3"/>
        <v>1</v>
      </c>
      <c r="P71" t="str">
        <f t="shared" si="2"/>
        <v/>
      </c>
    </row>
    <row r="72" spans="7:16" x14ac:dyDescent="0.4">
      <c r="G72" s="24" t="s">
        <v>729</v>
      </c>
      <c r="H72" s="24" t="s">
        <v>686</v>
      </c>
      <c r="I72" s="24"/>
      <c r="J72" s="25">
        <v>3</v>
      </c>
      <c r="K72" s="25"/>
      <c r="L72" s="26">
        <v>3</v>
      </c>
      <c r="N72">
        <f t="shared" si="1"/>
        <v>0</v>
      </c>
      <c r="O72">
        <f t="shared" si="3"/>
        <v>0</v>
      </c>
      <c r="P72" t="str">
        <f t="shared" si="2"/>
        <v>cdelvalle</v>
      </c>
    </row>
    <row r="73" spans="7:16" x14ac:dyDescent="0.4">
      <c r="G73" s="24" t="s">
        <v>102</v>
      </c>
      <c r="H73" s="24" t="s">
        <v>104</v>
      </c>
      <c r="I73" s="24"/>
      <c r="J73" s="25">
        <v>6</v>
      </c>
      <c r="K73" s="25"/>
      <c r="L73" s="26">
        <v>6</v>
      </c>
      <c r="N73">
        <f t="shared" si="1"/>
        <v>1</v>
      </c>
      <c r="O73">
        <f t="shared" si="3"/>
        <v>1</v>
      </c>
      <c r="P73" t="str">
        <f t="shared" si="2"/>
        <v/>
      </c>
    </row>
    <row r="74" spans="7:16" x14ac:dyDescent="0.4">
      <c r="G74" s="24" t="s">
        <v>105</v>
      </c>
      <c r="H74" s="24" t="s">
        <v>106</v>
      </c>
      <c r="I74" s="24">
        <v>5</v>
      </c>
      <c r="J74" s="25"/>
      <c r="K74" s="25"/>
      <c r="L74" s="26">
        <v>5</v>
      </c>
      <c r="N74">
        <f t="shared" si="1"/>
        <v>1</v>
      </c>
      <c r="O74">
        <f t="shared" si="3"/>
        <v>0</v>
      </c>
      <c r="P74" t="str">
        <f t="shared" si="2"/>
        <v>cpauvert</v>
      </c>
    </row>
    <row r="75" spans="7:16" x14ac:dyDescent="0.4">
      <c r="G75" s="24" t="s">
        <v>730</v>
      </c>
      <c r="H75" s="24" t="s">
        <v>688</v>
      </c>
      <c r="I75" s="24"/>
      <c r="J75" s="25">
        <v>4</v>
      </c>
      <c r="K75" s="25"/>
      <c r="L75" s="26">
        <v>4</v>
      </c>
      <c r="N75">
        <f t="shared" si="1"/>
        <v>0</v>
      </c>
      <c r="O75">
        <f t="shared" si="3"/>
        <v>0</v>
      </c>
      <c r="P75" t="str">
        <f t="shared" si="2"/>
        <v>craynaudflavier</v>
      </c>
    </row>
    <row r="76" spans="7:16" x14ac:dyDescent="0.4">
      <c r="G76" s="24" t="s">
        <v>741</v>
      </c>
      <c r="H76" s="24" t="s">
        <v>702</v>
      </c>
      <c r="I76" s="24"/>
      <c r="J76" s="25">
        <v>1</v>
      </c>
      <c r="K76" s="25"/>
      <c r="L76" s="26">
        <v>1</v>
      </c>
      <c r="N76">
        <f t="shared" si="1"/>
        <v>0</v>
      </c>
      <c r="O76">
        <f t="shared" si="3"/>
        <v>0</v>
      </c>
      <c r="P76" t="str">
        <f t="shared" si="2"/>
        <v>crossi</v>
      </c>
    </row>
    <row r="77" spans="7:16" x14ac:dyDescent="0.4">
      <c r="G77" s="24" t="s">
        <v>107</v>
      </c>
      <c r="H77" s="24" t="s">
        <v>109</v>
      </c>
      <c r="I77" s="24"/>
      <c r="J77" s="25">
        <v>6</v>
      </c>
      <c r="K77" s="25"/>
      <c r="L77" s="26">
        <v>6</v>
      </c>
      <c r="N77">
        <f t="shared" si="1"/>
        <v>1</v>
      </c>
      <c r="O77">
        <f t="shared" si="3"/>
        <v>1</v>
      </c>
      <c r="P77" t="str">
        <f t="shared" si="2"/>
        <v/>
      </c>
    </row>
    <row r="78" spans="7:16" x14ac:dyDescent="0.4">
      <c r="G78" s="24" t="s">
        <v>110</v>
      </c>
      <c r="H78" s="24" t="s">
        <v>112</v>
      </c>
      <c r="I78" s="24">
        <v>5</v>
      </c>
      <c r="J78" s="25"/>
      <c r="K78" s="25"/>
      <c r="L78" s="26">
        <v>5</v>
      </c>
      <c r="N78">
        <f t="shared" si="1"/>
        <v>1</v>
      </c>
      <c r="O78">
        <f t="shared" si="3"/>
        <v>0</v>
      </c>
      <c r="P78" t="str">
        <f t="shared" si="2"/>
        <v>crouge</v>
      </c>
    </row>
    <row r="79" spans="7:16" x14ac:dyDescent="0.4">
      <c r="G79" s="24" t="s">
        <v>113</v>
      </c>
      <c r="H79" s="24" t="s">
        <v>115</v>
      </c>
      <c r="I79" s="24">
        <v>6</v>
      </c>
      <c r="J79" s="25"/>
      <c r="K79" s="25"/>
      <c r="L79" s="26">
        <v>6</v>
      </c>
      <c r="N79">
        <f t="shared" si="1"/>
        <v>1</v>
      </c>
      <c r="O79">
        <f t="shared" si="3"/>
        <v>0</v>
      </c>
      <c r="P79" t="str">
        <f t="shared" si="2"/>
        <v>croussev</v>
      </c>
    </row>
    <row r="80" spans="7:16" x14ac:dyDescent="0.4">
      <c r="G80" s="24" t="s">
        <v>116</v>
      </c>
      <c r="H80" s="24" t="s">
        <v>118</v>
      </c>
      <c r="I80" s="24"/>
      <c r="J80" s="25">
        <v>6</v>
      </c>
      <c r="K80" s="25"/>
      <c r="L80" s="26">
        <v>6</v>
      </c>
      <c r="N80">
        <f t="shared" si="1"/>
        <v>1</v>
      </c>
      <c r="O80">
        <f t="shared" si="3"/>
        <v>1</v>
      </c>
      <c r="P80" t="str">
        <f t="shared" si="2"/>
        <v/>
      </c>
    </row>
    <row r="81" spans="7:16" x14ac:dyDescent="0.4">
      <c r="G81" s="24" t="s">
        <v>119</v>
      </c>
      <c r="H81" s="24" t="s">
        <v>121</v>
      </c>
      <c r="I81" s="24"/>
      <c r="J81" s="25">
        <v>6</v>
      </c>
      <c r="K81" s="25"/>
      <c r="L81" s="26">
        <v>6</v>
      </c>
      <c r="N81">
        <f t="shared" si="1"/>
        <v>1</v>
      </c>
      <c r="O81">
        <f t="shared" si="3"/>
        <v>1</v>
      </c>
      <c r="P81" t="str">
        <f t="shared" si="2"/>
        <v/>
      </c>
    </row>
    <row r="82" spans="7:16" x14ac:dyDescent="0.4">
      <c r="G82" s="24" t="s">
        <v>122</v>
      </c>
      <c r="H82" s="24" t="s">
        <v>124</v>
      </c>
      <c r="I82" s="24">
        <v>6</v>
      </c>
      <c r="J82" s="25"/>
      <c r="K82" s="25"/>
      <c r="L82" s="26">
        <v>6</v>
      </c>
      <c r="N82">
        <f t="shared" si="1"/>
        <v>1</v>
      </c>
      <c r="O82">
        <f t="shared" si="3"/>
        <v>0</v>
      </c>
      <c r="P82" t="str">
        <f t="shared" si="2"/>
        <v>cvallapesendorfer</v>
      </c>
    </row>
    <row r="83" spans="7:16" x14ac:dyDescent="0.4">
      <c r="G83" s="24" t="s">
        <v>125</v>
      </c>
      <c r="H83" s="24" t="s">
        <v>127</v>
      </c>
      <c r="I83" s="24"/>
      <c r="J83" s="25">
        <v>6</v>
      </c>
      <c r="K83" s="25"/>
      <c r="L83" s="26">
        <v>6</v>
      </c>
      <c r="N83">
        <f t="shared" si="1"/>
        <v>1</v>
      </c>
      <c r="O83">
        <f t="shared" si="3"/>
        <v>1</v>
      </c>
      <c r="P83" t="str">
        <f t="shared" si="2"/>
        <v/>
      </c>
    </row>
    <row r="84" spans="7:16" x14ac:dyDescent="0.4">
      <c r="G84" s="24" t="s">
        <v>128</v>
      </c>
      <c r="H84" s="24" t="s">
        <v>130</v>
      </c>
      <c r="I84" s="24">
        <v>5</v>
      </c>
      <c r="J84" s="25"/>
      <c r="K84" s="25"/>
      <c r="L84" s="26">
        <v>5</v>
      </c>
      <c r="N84">
        <f t="shared" si="1"/>
        <v>1</v>
      </c>
      <c r="O84">
        <f t="shared" si="3"/>
        <v>0</v>
      </c>
      <c r="P84" t="str">
        <f t="shared" si="2"/>
        <v>dcanadagutierrez</v>
      </c>
    </row>
    <row r="85" spans="7:16" x14ac:dyDescent="0.4">
      <c r="G85" s="24" t="s">
        <v>131</v>
      </c>
      <c r="H85" s="24" t="s">
        <v>133</v>
      </c>
      <c r="I85" s="24"/>
      <c r="J85" s="25">
        <v>6</v>
      </c>
      <c r="K85" s="25"/>
      <c r="L85" s="26">
        <v>6</v>
      </c>
      <c r="N85">
        <f t="shared" si="1"/>
        <v>1</v>
      </c>
      <c r="O85">
        <f t="shared" si="3"/>
        <v>1</v>
      </c>
      <c r="P85" t="str">
        <f t="shared" si="2"/>
        <v/>
      </c>
    </row>
    <row r="86" spans="7:16" x14ac:dyDescent="0.4">
      <c r="G86" s="24" t="s">
        <v>134</v>
      </c>
      <c r="H86" s="24" t="s">
        <v>136</v>
      </c>
      <c r="I86" s="24">
        <v>6</v>
      </c>
      <c r="J86" s="25"/>
      <c r="K86" s="25"/>
      <c r="L86" s="26">
        <v>6</v>
      </c>
      <c r="N86">
        <f t="shared" si="1"/>
        <v>1</v>
      </c>
      <c r="O86">
        <f t="shared" si="3"/>
        <v>0</v>
      </c>
      <c r="P86" t="str">
        <f t="shared" si="2"/>
        <v>dlau</v>
      </c>
    </row>
    <row r="87" spans="7:16" x14ac:dyDescent="0.4">
      <c r="G87" s="24" t="s">
        <v>137</v>
      </c>
      <c r="H87" s="24" t="s">
        <v>139</v>
      </c>
      <c r="I87" s="24">
        <v>6</v>
      </c>
      <c r="J87" s="25"/>
      <c r="K87" s="25"/>
      <c r="L87" s="26">
        <v>6</v>
      </c>
      <c r="N87">
        <f t="shared" si="1"/>
        <v>1</v>
      </c>
      <c r="O87">
        <f t="shared" si="3"/>
        <v>0</v>
      </c>
      <c r="P87" t="str">
        <f t="shared" si="2"/>
        <v>drashdan</v>
      </c>
    </row>
    <row r="88" spans="7:16" x14ac:dyDescent="0.4">
      <c r="G88" s="24" t="s">
        <v>140</v>
      </c>
      <c r="H88" s="24" t="s">
        <v>142</v>
      </c>
      <c r="I88" s="24">
        <v>6</v>
      </c>
      <c r="J88" s="25"/>
      <c r="K88" s="25"/>
      <c r="L88" s="26">
        <v>6</v>
      </c>
      <c r="N88">
        <f t="shared" si="1"/>
        <v>1</v>
      </c>
      <c r="O88">
        <f t="shared" si="3"/>
        <v>0</v>
      </c>
      <c r="P88" t="str">
        <f t="shared" si="2"/>
        <v>dtabacaru</v>
      </c>
    </row>
    <row r="89" spans="7:16" x14ac:dyDescent="0.4">
      <c r="G89" s="24" t="s">
        <v>143</v>
      </c>
      <c r="H89" s="24" t="s">
        <v>144</v>
      </c>
      <c r="I89" s="24"/>
      <c r="J89" s="25">
        <v>6</v>
      </c>
      <c r="K89" s="25"/>
      <c r="L89" s="26">
        <v>6</v>
      </c>
      <c r="N89">
        <f t="shared" si="1"/>
        <v>1</v>
      </c>
      <c r="O89">
        <f t="shared" si="3"/>
        <v>1</v>
      </c>
      <c r="P89" t="str">
        <f t="shared" si="2"/>
        <v/>
      </c>
    </row>
    <row r="90" spans="7:16" x14ac:dyDescent="0.4">
      <c r="G90" s="24" t="s">
        <v>145</v>
      </c>
      <c r="H90" s="24" t="s">
        <v>147</v>
      </c>
      <c r="I90" s="24">
        <v>5</v>
      </c>
      <c r="J90" s="25"/>
      <c r="K90" s="25"/>
      <c r="L90" s="26">
        <v>5</v>
      </c>
      <c r="N90">
        <f t="shared" si="1"/>
        <v>1</v>
      </c>
      <c r="O90">
        <f t="shared" si="3"/>
        <v>0</v>
      </c>
      <c r="P90" t="str">
        <f t="shared" si="2"/>
        <v>ecaron</v>
      </c>
    </row>
    <row r="91" spans="7:16" x14ac:dyDescent="0.4">
      <c r="G91" s="24" t="s">
        <v>148</v>
      </c>
      <c r="H91" s="24" t="s">
        <v>150</v>
      </c>
      <c r="I91" s="24">
        <v>6</v>
      </c>
      <c r="J91" s="25"/>
      <c r="K91" s="25"/>
      <c r="L91" s="26">
        <v>6</v>
      </c>
      <c r="N91">
        <f t="shared" si="1"/>
        <v>1</v>
      </c>
      <c r="O91">
        <f t="shared" si="3"/>
        <v>0</v>
      </c>
      <c r="P91" t="str">
        <f t="shared" si="2"/>
        <v>econstable</v>
      </c>
    </row>
    <row r="92" spans="7:16" x14ac:dyDescent="0.4">
      <c r="G92" s="24" t="s">
        <v>151</v>
      </c>
      <c r="H92" s="24" t="s">
        <v>153</v>
      </c>
      <c r="I92" s="24">
        <v>6</v>
      </c>
      <c r="J92" s="25"/>
      <c r="K92" s="25"/>
      <c r="L92" s="26">
        <v>6</v>
      </c>
      <c r="N92">
        <f t="shared" si="1"/>
        <v>1</v>
      </c>
      <c r="O92">
        <f t="shared" si="3"/>
        <v>0</v>
      </c>
      <c r="P92" t="str">
        <f t="shared" si="2"/>
        <v>edoumic</v>
      </c>
    </row>
    <row r="93" spans="7:16" x14ac:dyDescent="0.4">
      <c r="G93" s="24" t="s">
        <v>154</v>
      </c>
      <c r="H93" s="24" t="s">
        <v>156</v>
      </c>
      <c r="I93" s="24">
        <v>5</v>
      </c>
      <c r="J93" s="25"/>
      <c r="K93" s="25"/>
      <c r="L93" s="26">
        <v>5</v>
      </c>
      <c r="N93">
        <f t="shared" si="1"/>
        <v>1</v>
      </c>
      <c r="O93">
        <f t="shared" si="3"/>
        <v>0</v>
      </c>
      <c r="P93" t="str">
        <f t="shared" si="2"/>
        <v>egrandcolas</v>
      </c>
    </row>
    <row r="94" spans="7:16" x14ac:dyDescent="0.4">
      <c r="G94" s="24" t="s">
        <v>157</v>
      </c>
      <c r="H94" s="24" t="s">
        <v>159</v>
      </c>
      <c r="I94" s="24"/>
      <c r="J94" s="25">
        <v>6</v>
      </c>
      <c r="K94" s="25"/>
      <c r="L94" s="26">
        <v>6</v>
      </c>
      <c r="N94">
        <f t="shared" si="1"/>
        <v>1</v>
      </c>
      <c r="O94">
        <f t="shared" si="3"/>
        <v>1</v>
      </c>
      <c r="P94" t="str">
        <f t="shared" si="2"/>
        <v/>
      </c>
    </row>
    <row r="95" spans="7:16" x14ac:dyDescent="0.4">
      <c r="G95" s="24" t="s">
        <v>160</v>
      </c>
      <c r="H95" s="24" t="s">
        <v>162</v>
      </c>
      <c r="I95" s="24">
        <v>5</v>
      </c>
      <c r="J95" s="25"/>
      <c r="K95" s="25"/>
      <c r="L95" s="26">
        <v>5</v>
      </c>
      <c r="N95">
        <f t="shared" si="1"/>
        <v>1</v>
      </c>
      <c r="O95">
        <f t="shared" si="3"/>
        <v>0</v>
      </c>
      <c r="P95" t="str">
        <f t="shared" si="2"/>
        <v>ejaumemasferrer</v>
      </c>
    </row>
    <row r="96" spans="7:16" x14ac:dyDescent="0.4">
      <c r="G96" s="24" t="s">
        <v>163</v>
      </c>
      <c r="H96" s="24" t="s">
        <v>165</v>
      </c>
      <c r="I96" s="24"/>
      <c r="J96" s="25">
        <v>6</v>
      </c>
      <c r="K96" s="25"/>
      <c r="L96" s="26">
        <v>6</v>
      </c>
      <c r="N96">
        <f t="shared" si="1"/>
        <v>1</v>
      </c>
      <c r="O96">
        <f t="shared" si="3"/>
        <v>1</v>
      </c>
      <c r="P96" t="str">
        <f t="shared" si="2"/>
        <v/>
      </c>
    </row>
    <row r="97" spans="7:16" x14ac:dyDescent="0.4">
      <c r="G97" s="24" t="s">
        <v>166</v>
      </c>
      <c r="H97" s="24" t="s">
        <v>168</v>
      </c>
      <c r="I97" s="24">
        <v>4</v>
      </c>
      <c r="J97" s="25">
        <v>1</v>
      </c>
      <c r="K97" s="25"/>
      <c r="L97" s="26">
        <v>5</v>
      </c>
      <c r="N97">
        <f t="shared" si="1"/>
        <v>1</v>
      </c>
      <c r="O97">
        <f t="shared" si="3"/>
        <v>0</v>
      </c>
      <c r="P97" t="str">
        <f t="shared" si="2"/>
        <v>emamane</v>
      </c>
    </row>
    <row r="98" spans="7:16" x14ac:dyDescent="0.4">
      <c r="G98" s="24" t="s">
        <v>717</v>
      </c>
      <c r="H98" s="24" t="s">
        <v>661</v>
      </c>
      <c r="I98" s="24"/>
      <c r="J98" s="25">
        <v>3</v>
      </c>
      <c r="K98" s="25"/>
      <c r="L98" s="26">
        <v>3</v>
      </c>
      <c r="N98">
        <f t="shared" si="1"/>
        <v>0</v>
      </c>
      <c r="O98">
        <f t="shared" si="3"/>
        <v>0</v>
      </c>
      <c r="P98" t="str">
        <f t="shared" si="2"/>
        <v>emarchal</v>
      </c>
    </row>
    <row r="99" spans="7:16" x14ac:dyDescent="0.4">
      <c r="G99" s="24" t="s">
        <v>169</v>
      </c>
      <c r="H99" s="24" t="s">
        <v>171</v>
      </c>
      <c r="I99" s="24"/>
      <c r="J99" s="25">
        <v>6</v>
      </c>
      <c r="K99" s="25"/>
      <c r="L99" s="26">
        <v>6</v>
      </c>
      <c r="N99">
        <f t="shared" si="1"/>
        <v>1</v>
      </c>
      <c r="O99">
        <f t="shared" si="3"/>
        <v>1</v>
      </c>
      <c r="P99" t="str">
        <f t="shared" si="2"/>
        <v/>
      </c>
    </row>
    <row r="100" spans="7:16" x14ac:dyDescent="0.4">
      <c r="G100" s="24" t="s">
        <v>718</v>
      </c>
      <c r="H100" s="24" t="s">
        <v>665</v>
      </c>
      <c r="I100" s="24"/>
      <c r="J100" s="25">
        <v>1</v>
      </c>
      <c r="K100" s="25"/>
      <c r="L100" s="26">
        <v>1</v>
      </c>
      <c r="N100">
        <f t="shared" si="1"/>
        <v>0</v>
      </c>
      <c r="O100">
        <f t="shared" si="3"/>
        <v>0</v>
      </c>
      <c r="P100" t="str">
        <f t="shared" si="2"/>
        <v>enebra</v>
      </c>
    </row>
    <row r="101" spans="7:16" x14ac:dyDescent="0.4">
      <c r="G101" s="24" t="s">
        <v>735</v>
      </c>
      <c r="H101" s="24" t="s">
        <v>697</v>
      </c>
      <c r="I101" s="24"/>
      <c r="J101" s="25">
        <v>2</v>
      </c>
      <c r="K101" s="25"/>
      <c r="L101" s="26">
        <v>2</v>
      </c>
      <c r="N101">
        <f t="shared" si="1"/>
        <v>0</v>
      </c>
      <c r="O101">
        <f t="shared" si="3"/>
        <v>0</v>
      </c>
      <c r="P101" t="str">
        <f t="shared" si="2"/>
        <v>enierigeraci</v>
      </c>
    </row>
    <row r="102" spans="7:16" x14ac:dyDescent="0.4">
      <c r="G102" s="24" t="s">
        <v>734</v>
      </c>
      <c r="H102" s="24" t="s">
        <v>696</v>
      </c>
      <c r="I102" s="24"/>
      <c r="J102" s="25">
        <v>3</v>
      </c>
      <c r="K102" s="25"/>
      <c r="L102" s="26">
        <v>3</v>
      </c>
      <c r="N102">
        <f t="shared" ref="N102:N165" si="4">IF(L102&gt;4,1,0)</f>
        <v>0</v>
      </c>
      <c r="O102">
        <f t="shared" si="3"/>
        <v>0</v>
      </c>
      <c r="P102" t="str">
        <f t="shared" ref="P102:P165" si="5">IF(OR(ISBLANK(J102),J102&lt;5),G102,"")</f>
        <v>eoniangueadamo</v>
      </c>
    </row>
    <row r="103" spans="7:16" x14ac:dyDescent="0.4">
      <c r="G103" s="24" t="s">
        <v>172</v>
      </c>
      <c r="H103" s="24" t="s">
        <v>174</v>
      </c>
      <c r="I103" s="24">
        <v>1</v>
      </c>
      <c r="J103" s="25">
        <v>5</v>
      </c>
      <c r="K103" s="25"/>
      <c r="L103" s="26">
        <v>6</v>
      </c>
      <c r="N103">
        <f t="shared" si="4"/>
        <v>1</v>
      </c>
      <c r="O103">
        <f t="shared" ref="O103:O166" si="6">IF(J103&gt;4,1,0)</f>
        <v>1</v>
      </c>
      <c r="P103" t="str">
        <f t="shared" si="5"/>
        <v/>
      </c>
    </row>
    <row r="104" spans="7:16" x14ac:dyDescent="0.4">
      <c r="G104" s="24" t="s">
        <v>175</v>
      </c>
      <c r="H104" s="24" t="s">
        <v>177</v>
      </c>
      <c r="I104" s="24"/>
      <c r="J104" s="25">
        <v>6</v>
      </c>
      <c r="K104" s="25"/>
      <c r="L104" s="26">
        <v>6</v>
      </c>
      <c r="N104">
        <f t="shared" si="4"/>
        <v>1</v>
      </c>
      <c r="O104">
        <f t="shared" si="6"/>
        <v>1</v>
      </c>
      <c r="P104" t="str">
        <f t="shared" si="5"/>
        <v/>
      </c>
    </row>
    <row r="105" spans="7:16" x14ac:dyDescent="0.4">
      <c r="G105" s="24" t="s">
        <v>178</v>
      </c>
      <c r="H105" s="24" t="s">
        <v>180</v>
      </c>
      <c r="I105" s="24">
        <v>2</v>
      </c>
      <c r="J105" s="25">
        <v>4</v>
      </c>
      <c r="K105" s="25"/>
      <c r="L105" s="26">
        <v>6</v>
      </c>
      <c r="N105">
        <f t="shared" si="4"/>
        <v>1</v>
      </c>
      <c r="O105">
        <f t="shared" si="6"/>
        <v>0</v>
      </c>
      <c r="P105" t="str">
        <f t="shared" si="5"/>
        <v>ericard</v>
      </c>
    </row>
    <row r="106" spans="7:16" x14ac:dyDescent="0.4">
      <c r="G106" s="24" t="s">
        <v>181</v>
      </c>
      <c r="H106" s="24" t="s">
        <v>183</v>
      </c>
      <c r="I106" s="24">
        <v>1</v>
      </c>
      <c r="J106" s="25">
        <v>5</v>
      </c>
      <c r="K106" s="25"/>
      <c r="L106" s="26">
        <v>6</v>
      </c>
      <c r="N106">
        <f t="shared" si="4"/>
        <v>1</v>
      </c>
      <c r="O106">
        <f t="shared" si="6"/>
        <v>1</v>
      </c>
      <c r="P106" t="str">
        <f t="shared" si="5"/>
        <v/>
      </c>
    </row>
    <row r="107" spans="7:16" x14ac:dyDescent="0.4">
      <c r="G107" s="24" t="s">
        <v>184</v>
      </c>
      <c r="H107" s="24" t="s">
        <v>186</v>
      </c>
      <c r="I107" s="24"/>
      <c r="J107" s="25">
        <v>6</v>
      </c>
      <c r="K107" s="25"/>
      <c r="L107" s="26">
        <v>6</v>
      </c>
      <c r="N107">
        <f t="shared" si="4"/>
        <v>1</v>
      </c>
      <c r="O107">
        <f t="shared" si="6"/>
        <v>1</v>
      </c>
      <c r="P107" t="str">
        <f t="shared" si="5"/>
        <v/>
      </c>
    </row>
    <row r="108" spans="7:16" x14ac:dyDescent="0.4">
      <c r="G108" s="24" t="s">
        <v>187</v>
      </c>
      <c r="H108" s="24" t="s">
        <v>189</v>
      </c>
      <c r="I108" s="24">
        <v>2</v>
      </c>
      <c r="J108" s="25">
        <v>4</v>
      </c>
      <c r="K108" s="25"/>
      <c r="L108" s="26">
        <v>6</v>
      </c>
      <c r="N108">
        <f t="shared" si="4"/>
        <v>1</v>
      </c>
      <c r="O108">
        <f t="shared" si="6"/>
        <v>0</v>
      </c>
      <c r="P108" t="str">
        <f t="shared" si="5"/>
        <v>ezemihi</v>
      </c>
    </row>
    <row r="109" spans="7:16" x14ac:dyDescent="0.4">
      <c r="G109" s="24" t="s">
        <v>190</v>
      </c>
      <c r="H109" s="24" t="s">
        <v>192</v>
      </c>
      <c r="I109" s="24"/>
      <c r="J109" s="25">
        <v>6</v>
      </c>
      <c r="K109" s="25"/>
      <c r="L109" s="26">
        <v>6</v>
      </c>
      <c r="N109">
        <f t="shared" si="4"/>
        <v>1</v>
      </c>
      <c r="O109">
        <f t="shared" si="6"/>
        <v>1</v>
      </c>
      <c r="P109" t="str">
        <f t="shared" si="5"/>
        <v/>
      </c>
    </row>
    <row r="110" spans="7:16" x14ac:dyDescent="0.4">
      <c r="G110" s="24" t="s">
        <v>193</v>
      </c>
      <c r="H110" s="24" t="s">
        <v>195</v>
      </c>
      <c r="I110" s="24"/>
      <c r="J110" s="25">
        <v>6</v>
      </c>
      <c r="K110" s="25"/>
      <c r="L110" s="26">
        <v>6</v>
      </c>
      <c r="N110">
        <f t="shared" si="4"/>
        <v>1</v>
      </c>
      <c r="O110">
        <f t="shared" si="6"/>
        <v>1</v>
      </c>
      <c r="P110" t="str">
        <f t="shared" si="5"/>
        <v/>
      </c>
    </row>
    <row r="111" spans="7:16" x14ac:dyDescent="0.4">
      <c r="G111" s="24" t="s">
        <v>196</v>
      </c>
      <c r="H111" s="24" t="s">
        <v>198</v>
      </c>
      <c r="I111" s="24">
        <v>1</v>
      </c>
      <c r="J111" s="25">
        <v>5</v>
      </c>
      <c r="K111" s="25"/>
      <c r="L111" s="26">
        <v>6</v>
      </c>
      <c r="N111">
        <f t="shared" si="4"/>
        <v>1</v>
      </c>
      <c r="O111">
        <f t="shared" si="6"/>
        <v>1</v>
      </c>
      <c r="P111" t="str">
        <f t="shared" si="5"/>
        <v/>
      </c>
    </row>
    <row r="112" spans="7:16" x14ac:dyDescent="0.4">
      <c r="G112" s="24" t="s">
        <v>199</v>
      </c>
      <c r="H112" s="24" t="s">
        <v>201</v>
      </c>
      <c r="I112" s="24">
        <v>6</v>
      </c>
      <c r="J112" s="25"/>
      <c r="K112" s="25"/>
      <c r="L112" s="26">
        <v>6</v>
      </c>
      <c r="N112">
        <f t="shared" si="4"/>
        <v>1</v>
      </c>
      <c r="O112">
        <f t="shared" si="6"/>
        <v>0</v>
      </c>
      <c r="P112" t="str">
        <f t="shared" si="5"/>
        <v>fdeschodt</v>
      </c>
    </row>
    <row r="113" spans="7:16" x14ac:dyDescent="0.4">
      <c r="G113" s="24" t="s">
        <v>202</v>
      </c>
      <c r="H113" s="24" t="s">
        <v>203</v>
      </c>
      <c r="I113" s="24">
        <v>6</v>
      </c>
      <c r="J113" s="25"/>
      <c r="K113" s="25"/>
      <c r="L113" s="26">
        <v>6</v>
      </c>
      <c r="N113">
        <f t="shared" si="4"/>
        <v>1</v>
      </c>
      <c r="O113">
        <f t="shared" si="6"/>
        <v>0</v>
      </c>
      <c r="P113" t="str">
        <f t="shared" si="5"/>
        <v>fmartin2</v>
      </c>
    </row>
    <row r="114" spans="7:16" x14ac:dyDescent="0.4">
      <c r="G114" s="24" t="s">
        <v>204</v>
      </c>
      <c r="H114" s="24" t="s">
        <v>206</v>
      </c>
      <c r="I114" s="24"/>
      <c r="J114" s="25">
        <v>6</v>
      </c>
      <c r="K114" s="25"/>
      <c r="L114" s="26">
        <v>6</v>
      </c>
      <c r="N114">
        <f t="shared" si="4"/>
        <v>1</v>
      </c>
      <c r="O114">
        <f t="shared" si="6"/>
        <v>1</v>
      </c>
      <c r="P114" t="str">
        <f t="shared" si="5"/>
        <v/>
      </c>
    </row>
    <row r="115" spans="7:16" x14ac:dyDescent="0.4">
      <c r="G115" s="24" t="s">
        <v>207</v>
      </c>
      <c r="H115" s="24" t="s">
        <v>208</v>
      </c>
      <c r="I115" s="24"/>
      <c r="J115" s="25">
        <v>6</v>
      </c>
      <c r="K115" s="25"/>
      <c r="L115" s="26">
        <v>6</v>
      </c>
      <c r="N115">
        <f t="shared" si="4"/>
        <v>1</v>
      </c>
      <c r="O115">
        <f t="shared" si="6"/>
        <v>1</v>
      </c>
      <c r="P115" t="str">
        <f t="shared" si="5"/>
        <v/>
      </c>
    </row>
    <row r="116" spans="7:16" x14ac:dyDescent="0.4">
      <c r="G116" s="24" t="s">
        <v>209</v>
      </c>
      <c r="H116" s="24" t="s">
        <v>211</v>
      </c>
      <c r="I116" s="24"/>
      <c r="J116" s="25">
        <v>6</v>
      </c>
      <c r="K116" s="25"/>
      <c r="L116" s="26">
        <v>6</v>
      </c>
      <c r="N116">
        <f t="shared" si="4"/>
        <v>1</v>
      </c>
      <c r="O116">
        <f t="shared" si="6"/>
        <v>1</v>
      </c>
      <c r="P116" t="str">
        <f t="shared" si="5"/>
        <v/>
      </c>
    </row>
    <row r="117" spans="7:16" x14ac:dyDescent="0.4">
      <c r="G117" s="24" t="s">
        <v>212</v>
      </c>
      <c r="H117" s="24" t="s">
        <v>214</v>
      </c>
      <c r="I117" s="24"/>
      <c r="J117" s="25">
        <v>6</v>
      </c>
      <c r="K117" s="25"/>
      <c r="L117" s="26">
        <v>6</v>
      </c>
      <c r="N117">
        <f t="shared" si="4"/>
        <v>1</v>
      </c>
      <c r="O117">
        <f t="shared" si="6"/>
        <v>1</v>
      </c>
      <c r="P117" t="str">
        <f t="shared" si="5"/>
        <v/>
      </c>
    </row>
    <row r="118" spans="7:16" x14ac:dyDescent="0.4">
      <c r="G118" s="24" t="s">
        <v>215</v>
      </c>
      <c r="H118" s="24" t="s">
        <v>216</v>
      </c>
      <c r="I118" s="24"/>
      <c r="J118" s="25">
        <v>6</v>
      </c>
      <c r="K118" s="25"/>
      <c r="L118" s="26">
        <v>6</v>
      </c>
      <c r="N118">
        <f t="shared" si="4"/>
        <v>1</v>
      </c>
      <c r="O118">
        <f t="shared" si="6"/>
        <v>1</v>
      </c>
      <c r="P118" t="str">
        <f t="shared" si="5"/>
        <v/>
      </c>
    </row>
    <row r="119" spans="7:16" x14ac:dyDescent="0.4">
      <c r="G119" s="24" t="s">
        <v>647</v>
      </c>
      <c r="H119" s="24" t="s">
        <v>646</v>
      </c>
      <c r="I119" s="24"/>
      <c r="J119" s="25">
        <v>4</v>
      </c>
      <c r="K119" s="25"/>
      <c r="L119" s="26">
        <v>4</v>
      </c>
      <c r="N119">
        <f t="shared" si="4"/>
        <v>0</v>
      </c>
      <c r="O119">
        <f t="shared" si="6"/>
        <v>0</v>
      </c>
      <c r="P119" t="str">
        <f t="shared" si="5"/>
        <v>ggemot</v>
      </c>
    </row>
    <row r="120" spans="7:16" x14ac:dyDescent="0.4">
      <c r="G120" s="24" t="s">
        <v>217</v>
      </c>
      <c r="H120" s="24" t="s">
        <v>219</v>
      </c>
      <c r="I120" s="24"/>
      <c r="J120" s="25">
        <v>6</v>
      </c>
      <c r="K120" s="25"/>
      <c r="L120" s="26">
        <v>6</v>
      </c>
      <c r="N120">
        <f t="shared" si="4"/>
        <v>1</v>
      </c>
      <c r="O120">
        <f t="shared" si="6"/>
        <v>1</v>
      </c>
      <c r="P120" t="str">
        <f t="shared" si="5"/>
        <v/>
      </c>
    </row>
    <row r="121" spans="7:16" x14ac:dyDescent="0.4">
      <c r="G121" s="24" t="s">
        <v>220</v>
      </c>
      <c r="H121" s="24" t="s">
        <v>221</v>
      </c>
      <c r="I121" s="24">
        <v>5</v>
      </c>
      <c r="J121" s="25"/>
      <c r="K121" s="25"/>
      <c r="L121" s="26">
        <v>5</v>
      </c>
      <c r="N121">
        <f t="shared" si="4"/>
        <v>1</v>
      </c>
      <c r="O121">
        <f t="shared" si="6"/>
        <v>0</v>
      </c>
      <c r="P121" t="str">
        <f t="shared" si="5"/>
        <v>gsardier</v>
      </c>
    </row>
    <row r="122" spans="7:16" x14ac:dyDescent="0.4">
      <c r="G122" s="24" t="s">
        <v>222</v>
      </c>
      <c r="H122" s="24" t="s">
        <v>223</v>
      </c>
      <c r="I122" s="24"/>
      <c r="J122" s="25">
        <v>6</v>
      </c>
      <c r="K122" s="25"/>
      <c r="L122" s="26">
        <v>6</v>
      </c>
      <c r="N122">
        <f t="shared" si="4"/>
        <v>1</v>
      </c>
      <c r="O122">
        <f t="shared" si="6"/>
        <v>1</v>
      </c>
      <c r="P122" t="str">
        <f t="shared" si="5"/>
        <v/>
      </c>
    </row>
    <row r="123" spans="7:16" x14ac:dyDescent="0.4">
      <c r="G123" s="24" t="s">
        <v>224</v>
      </c>
      <c r="H123" s="24" t="s">
        <v>226</v>
      </c>
      <c r="I123" s="24"/>
      <c r="J123" s="25">
        <v>6</v>
      </c>
      <c r="K123" s="25"/>
      <c r="L123" s="26">
        <v>6</v>
      </c>
      <c r="N123">
        <f t="shared" si="4"/>
        <v>1</v>
      </c>
      <c r="O123">
        <f t="shared" si="6"/>
        <v>1</v>
      </c>
      <c r="P123" t="str">
        <f t="shared" si="5"/>
        <v/>
      </c>
    </row>
    <row r="124" spans="7:16" x14ac:dyDescent="0.4">
      <c r="G124" s="24" t="s">
        <v>227</v>
      </c>
      <c r="H124" s="24" t="s">
        <v>229</v>
      </c>
      <c r="I124" s="24"/>
      <c r="J124" s="25">
        <v>6</v>
      </c>
      <c r="K124" s="25"/>
      <c r="L124" s="26">
        <v>6</v>
      </c>
      <c r="N124">
        <f t="shared" si="4"/>
        <v>1</v>
      </c>
      <c r="O124">
        <f t="shared" si="6"/>
        <v>1</v>
      </c>
      <c r="P124" t="str">
        <f t="shared" si="5"/>
        <v/>
      </c>
    </row>
    <row r="125" spans="7:16" x14ac:dyDescent="0.4">
      <c r="G125" s="24" t="s">
        <v>230</v>
      </c>
      <c r="H125" s="24" t="s">
        <v>231</v>
      </c>
      <c r="I125" s="24">
        <v>1</v>
      </c>
      <c r="J125" s="25">
        <v>5</v>
      </c>
      <c r="K125" s="25"/>
      <c r="L125" s="26">
        <v>6</v>
      </c>
      <c r="N125">
        <f t="shared" si="4"/>
        <v>1</v>
      </c>
      <c r="O125">
        <f t="shared" si="6"/>
        <v>1</v>
      </c>
      <c r="P125" t="str">
        <f t="shared" si="5"/>
        <v/>
      </c>
    </row>
    <row r="126" spans="7:16" x14ac:dyDescent="0.4">
      <c r="G126" s="24" t="s">
        <v>232</v>
      </c>
      <c r="H126" s="24" t="s">
        <v>234</v>
      </c>
      <c r="I126" s="24"/>
      <c r="J126" s="25">
        <v>6</v>
      </c>
      <c r="K126" s="25"/>
      <c r="L126" s="26">
        <v>6</v>
      </c>
      <c r="N126">
        <f t="shared" si="4"/>
        <v>1</v>
      </c>
      <c r="O126">
        <f t="shared" si="6"/>
        <v>1</v>
      </c>
      <c r="P126" t="str">
        <f t="shared" si="5"/>
        <v/>
      </c>
    </row>
    <row r="127" spans="7:16" x14ac:dyDescent="0.4">
      <c r="G127" s="24" t="s">
        <v>235</v>
      </c>
      <c r="H127" s="24" t="s">
        <v>237</v>
      </c>
      <c r="I127" s="24"/>
      <c r="J127" s="25">
        <v>6</v>
      </c>
      <c r="K127" s="25"/>
      <c r="L127" s="26">
        <v>6</v>
      </c>
      <c r="N127">
        <f t="shared" si="4"/>
        <v>1</v>
      </c>
      <c r="O127">
        <f t="shared" si="6"/>
        <v>1</v>
      </c>
      <c r="P127" t="str">
        <f t="shared" si="5"/>
        <v/>
      </c>
    </row>
    <row r="128" spans="7:16" x14ac:dyDescent="0.4">
      <c r="G128" s="24" t="s">
        <v>238</v>
      </c>
      <c r="H128" s="24" t="s">
        <v>240</v>
      </c>
      <c r="I128" s="24"/>
      <c r="J128" s="25">
        <v>6</v>
      </c>
      <c r="K128" s="25"/>
      <c r="L128" s="26">
        <v>6</v>
      </c>
      <c r="N128">
        <f t="shared" si="4"/>
        <v>1</v>
      </c>
      <c r="O128">
        <f t="shared" si="6"/>
        <v>1</v>
      </c>
      <c r="P128" t="str">
        <f t="shared" si="5"/>
        <v/>
      </c>
    </row>
    <row r="129" spans="7:16" x14ac:dyDescent="0.4">
      <c r="G129" s="24" t="s">
        <v>241</v>
      </c>
      <c r="H129" s="24" t="s">
        <v>243</v>
      </c>
      <c r="I129" s="24"/>
      <c r="J129" s="25">
        <v>6</v>
      </c>
      <c r="K129" s="25"/>
      <c r="L129" s="26">
        <v>6</v>
      </c>
      <c r="N129">
        <f t="shared" si="4"/>
        <v>1</v>
      </c>
      <c r="O129">
        <f t="shared" si="6"/>
        <v>1</v>
      </c>
      <c r="P129" t="str">
        <f t="shared" si="5"/>
        <v/>
      </c>
    </row>
    <row r="130" spans="7:16" x14ac:dyDescent="0.4">
      <c r="G130" s="24" t="s">
        <v>244</v>
      </c>
      <c r="H130" s="24" t="s">
        <v>246</v>
      </c>
      <c r="I130" s="24">
        <v>1</v>
      </c>
      <c r="J130" s="25">
        <v>5</v>
      </c>
      <c r="K130" s="25"/>
      <c r="L130" s="26">
        <v>6</v>
      </c>
      <c r="N130">
        <f t="shared" si="4"/>
        <v>1</v>
      </c>
      <c r="O130">
        <f t="shared" si="6"/>
        <v>1</v>
      </c>
      <c r="P130" t="str">
        <f t="shared" si="5"/>
        <v/>
      </c>
    </row>
    <row r="131" spans="7:16" x14ac:dyDescent="0.4">
      <c r="G131" s="24" t="s">
        <v>247</v>
      </c>
      <c r="H131" s="24" t="s">
        <v>249</v>
      </c>
      <c r="I131" s="24"/>
      <c r="J131" s="25">
        <v>6</v>
      </c>
      <c r="K131" s="25"/>
      <c r="L131" s="26">
        <v>6</v>
      </c>
      <c r="N131">
        <f t="shared" si="4"/>
        <v>1</v>
      </c>
      <c r="O131">
        <f t="shared" si="6"/>
        <v>1</v>
      </c>
      <c r="P131" t="str">
        <f t="shared" si="5"/>
        <v/>
      </c>
    </row>
    <row r="132" spans="7:16" x14ac:dyDescent="0.4">
      <c r="G132" s="24" t="s">
        <v>724</v>
      </c>
      <c r="H132" s="24" t="s">
        <v>677</v>
      </c>
      <c r="I132" s="24"/>
      <c r="J132" s="25">
        <v>2</v>
      </c>
      <c r="K132" s="25"/>
      <c r="L132" s="26">
        <v>2</v>
      </c>
      <c r="N132">
        <f t="shared" si="4"/>
        <v>0</v>
      </c>
      <c r="O132">
        <f t="shared" si="6"/>
        <v>0</v>
      </c>
      <c r="P132" t="str">
        <f t="shared" si="5"/>
        <v>igasparrodrigues</v>
      </c>
    </row>
    <row r="133" spans="7:16" x14ac:dyDescent="0.4">
      <c r="G133" s="24" t="s">
        <v>250</v>
      </c>
      <c r="H133" s="24" t="s">
        <v>252</v>
      </c>
      <c r="I133" s="24">
        <v>6</v>
      </c>
      <c r="J133" s="25"/>
      <c r="K133" s="25"/>
      <c r="L133" s="26">
        <v>6</v>
      </c>
      <c r="N133">
        <f t="shared" si="4"/>
        <v>1</v>
      </c>
      <c r="O133">
        <f t="shared" si="6"/>
        <v>0</v>
      </c>
      <c r="P133" t="str">
        <f t="shared" si="5"/>
        <v>iterekhanov</v>
      </c>
    </row>
    <row r="134" spans="7:16" x14ac:dyDescent="0.4">
      <c r="G134" s="24" t="s">
        <v>253</v>
      </c>
      <c r="H134" s="24" t="s">
        <v>254</v>
      </c>
      <c r="I134" s="24"/>
      <c r="J134" s="25">
        <v>6</v>
      </c>
      <c r="K134" s="25"/>
      <c r="L134" s="26">
        <v>6</v>
      </c>
      <c r="N134">
        <f t="shared" si="4"/>
        <v>1</v>
      </c>
      <c r="O134">
        <f t="shared" si="6"/>
        <v>1</v>
      </c>
      <c r="P134" t="str">
        <f t="shared" si="5"/>
        <v/>
      </c>
    </row>
    <row r="135" spans="7:16" x14ac:dyDescent="0.4">
      <c r="G135" s="24" t="s">
        <v>255</v>
      </c>
      <c r="H135" s="24" t="s">
        <v>257</v>
      </c>
      <c r="I135" s="24">
        <v>5</v>
      </c>
      <c r="J135" s="25">
        <v>1</v>
      </c>
      <c r="K135" s="25"/>
      <c r="L135" s="26">
        <v>6</v>
      </c>
      <c r="N135">
        <f t="shared" si="4"/>
        <v>1</v>
      </c>
      <c r="O135">
        <f t="shared" si="6"/>
        <v>0</v>
      </c>
      <c r="P135" t="str">
        <f t="shared" si="5"/>
        <v>izajtmann1</v>
      </c>
    </row>
    <row r="136" spans="7:16" x14ac:dyDescent="0.4">
      <c r="G136" s="24" t="s">
        <v>258</v>
      </c>
      <c r="H136" s="24" t="s">
        <v>260</v>
      </c>
      <c r="I136" s="24"/>
      <c r="J136" s="25">
        <v>6</v>
      </c>
      <c r="K136" s="25"/>
      <c r="L136" s="26">
        <v>6</v>
      </c>
      <c r="N136">
        <f t="shared" si="4"/>
        <v>1</v>
      </c>
      <c r="O136">
        <f t="shared" si="6"/>
        <v>1</v>
      </c>
      <c r="P136" t="str">
        <f t="shared" si="5"/>
        <v/>
      </c>
    </row>
    <row r="137" spans="7:16" x14ac:dyDescent="0.4">
      <c r="G137" s="24" t="s">
        <v>261</v>
      </c>
      <c r="H137" s="24" t="s">
        <v>263</v>
      </c>
      <c r="I137" s="24"/>
      <c r="J137" s="25">
        <v>6</v>
      </c>
      <c r="K137" s="25"/>
      <c r="L137" s="26">
        <v>6</v>
      </c>
      <c r="N137">
        <f t="shared" si="4"/>
        <v>1</v>
      </c>
      <c r="O137">
        <f t="shared" si="6"/>
        <v>1</v>
      </c>
      <c r="P137" t="str">
        <f t="shared" si="5"/>
        <v/>
      </c>
    </row>
    <row r="138" spans="7:16" x14ac:dyDescent="0.4">
      <c r="G138" s="24" t="s">
        <v>264</v>
      </c>
      <c r="H138" s="24" t="s">
        <v>265</v>
      </c>
      <c r="I138" s="24"/>
      <c r="J138" s="25">
        <v>6</v>
      </c>
      <c r="K138" s="25"/>
      <c r="L138" s="26">
        <v>6</v>
      </c>
      <c r="N138">
        <f t="shared" si="4"/>
        <v>1</v>
      </c>
      <c r="O138">
        <f t="shared" si="6"/>
        <v>1</v>
      </c>
      <c r="P138" t="str">
        <f t="shared" si="5"/>
        <v/>
      </c>
    </row>
    <row r="139" spans="7:16" x14ac:dyDescent="0.4">
      <c r="G139" s="24" t="s">
        <v>721</v>
      </c>
      <c r="H139" s="24" t="s">
        <v>671</v>
      </c>
      <c r="I139" s="24"/>
      <c r="J139" s="25">
        <v>3</v>
      </c>
      <c r="K139" s="25"/>
      <c r="L139" s="26">
        <v>3</v>
      </c>
      <c r="N139">
        <f t="shared" si="4"/>
        <v>0</v>
      </c>
      <c r="O139">
        <f t="shared" si="6"/>
        <v>0</v>
      </c>
      <c r="P139" t="str">
        <f t="shared" si="5"/>
        <v>jcasier</v>
      </c>
    </row>
    <row r="140" spans="7:16" x14ac:dyDescent="0.4">
      <c r="G140" s="24" t="s">
        <v>266</v>
      </c>
      <c r="H140" s="24" t="s">
        <v>268</v>
      </c>
      <c r="I140" s="24"/>
      <c r="J140" s="25">
        <v>6</v>
      </c>
      <c r="K140" s="25"/>
      <c r="L140" s="26">
        <v>6</v>
      </c>
      <c r="N140">
        <f t="shared" si="4"/>
        <v>1</v>
      </c>
      <c r="O140">
        <f t="shared" si="6"/>
        <v>1</v>
      </c>
      <c r="P140" t="str">
        <f t="shared" si="5"/>
        <v/>
      </c>
    </row>
    <row r="141" spans="7:16" x14ac:dyDescent="0.4">
      <c r="G141" s="24" t="s">
        <v>269</v>
      </c>
      <c r="H141" s="24" t="s">
        <v>271</v>
      </c>
      <c r="I141" s="24">
        <v>2</v>
      </c>
      <c r="J141" s="25">
        <v>4</v>
      </c>
      <c r="K141" s="25"/>
      <c r="L141" s="26">
        <v>6</v>
      </c>
      <c r="N141">
        <f t="shared" si="4"/>
        <v>1</v>
      </c>
      <c r="O141">
        <f t="shared" si="6"/>
        <v>0</v>
      </c>
      <c r="P141" t="str">
        <f t="shared" si="5"/>
        <v>jcharles2</v>
      </c>
    </row>
    <row r="142" spans="7:16" x14ac:dyDescent="0.4">
      <c r="G142" s="24" t="s">
        <v>272</v>
      </c>
      <c r="H142" s="24" t="s">
        <v>274</v>
      </c>
      <c r="I142" s="24"/>
      <c r="J142" s="25">
        <v>6</v>
      </c>
      <c r="K142" s="25"/>
      <c r="L142" s="26">
        <v>6</v>
      </c>
      <c r="N142">
        <f t="shared" si="4"/>
        <v>1</v>
      </c>
      <c r="O142">
        <f t="shared" si="6"/>
        <v>1</v>
      </c>
      <c r="P142" t="str">
        <f t="shared" si="5"/>
        <v/>
      </c>
    </row>
    <row r="143" spans="7:16" x14ac:dyDescent="0.4">
      <c r="G143" s="24" t="s">
        <v>275</v>
      </c>
      <c r="H143" s="24" t="s">
        <v>277</v>
      </c>
      <c r="I143" s="24">
        <v>1</v>
      </c>
      <c r="J143" s="25">
        <v>5</v>
      </c>
      <c r="K143" s="25"/>
      <c r="L143" s="26">
        <v>6</v>
      </c>
      <c r="N143">
        <f t="shared" si="4"/>
        <v>1</v>
      </c>
      <c r="O143">
        <f t="shared" si="6"/>
        <v>1</v>
      </c>
      <c r="P143" t="str">
        <f t="shared" si="5"/>
        <v/>
      </c>
    </row>
    <row r="144" spans="7:16" x14ac:dyDescent="0.4">
      <c r="G144" s="24" t="s">
        <v>278</v>
      </c>
      <c r="H144" s="24" t="s">
        <v>280</v>
      </c>
      <c r="I144" s="24">
        <v>5</v>
      </c>
      <c r="J144" s="25"/>
      <c r="K144" s="25"/>
      <c r="L144" s="26">
        <v>5</v>
      </c>
      <c r="N144">
        <f t="shared" si="4"/>
        <v>1</v>
      </c>
      <c r="O144">
        <f t="shared" si="6"/>
        <v>0</v>
      </c>
      <c r="P144" t="str">
        <f t="shared" si="5"/>
        <v>jfamchon</v>
      </c>
    </row>
    <row r="145" spans="7:16" x14ac:dyDescent="0.4">
      <c r="G145" s="24" t="s">
        <v>281</v>
      </c>
      <c r="H145" s="24" t="s">
        <v>283</v>
      </c>
      <c r="I145" s="24">
        <v>6</v>
      </c>
      <c r="J145" s="25"/>
      <c r="K145" s="25"/>
      <c r="L145" s="26">
        <v>6</v>
      </c>
      <c r="N145">
        <f t="shared" si="4"/>
        <v>1</v>
      </c>
      <c r="O145">
        <f t="shared" si="6"/>
        <v>0</v>
      </c>
      <c r="P145" t="str">
        <f t="shared" si="5"/>
        <v>jferrer</v>
      </c>
    </row>
    <row r="146" spans="7:16" x14ac:dyDescent="0.4">
      <c r="G146" s="24" t="s">
        <v>743</v>
      </c>
      <c r="H146" s="24" t="s">
        <v>286</v>
      </c>
      <c r="I146" s="24"/>
      <c r="J146" s="25">
        <v>1</v>
      </c>
      <c r="K146" s="25"/>
      <c r="L146" s="26">
        <v>1</v>
      </c>
      <c r="N146">
        <f t="shared" si="4"/>
        <v>0</v>
      </c>
      <c r="O146">
        <f t="shared" si="6"/>
        <v>0</v>
      </c>
      <c r="P146" t="str">
        <f t="shared" si="5"/>
        <v>jhuang</v>
      </c>
    </row>
    <row r="147" spans="7:16" x14ac:dyDescent="0.4">
      <c r="G147" s="24" t="s">
        <v>284</v>
      </c>
      <c r="H147" s="24" t="s">
        <v>286</v>
      </c>
      <c r="I147" s="24">
        <v>1</v>
      </c>
      <c r="J147" s="25">
        <v>5</v>
      </c>
      <c r="K147" s="25"/>
      <c r="L147" s="26">
        <v>6</v>
      </c>
      <c r="N147">
        <f t="shared" si="4"/>
        <v>1</v>
      </c>
      <c r="O147">
        <f t="shared" si="6"/>
        <v>1</v>
      </c>
      <c r="P147" t="str">
        <f t="shared" si="5"/>
        <v/>
      </c>
    </row>
    <row r="148" spans="7:16" x14ac:dyDescent="0.4">
      <c r="G148" s="24" t="s">
        <v>287</v>
      </c>
      <c r="H148" s="24" t="s">
        <v>289</v>
      </c>
      <c r="I148" s="24">
        <v>2</v>
      </c>
      <c r="J148" s="25">
        <v>4</v>
      </c>
      <c r="K148" s="25"/>
      <c r="L148" s="26">
        <v>6</v>
      </c>
      <c r="N148">
        <f t="shared" si="4"/>
        <v>1</v>
      </c>
      <c r="O148">
        <f t="shared" si="6"/>
        <v>0</v>
      </c>
      <c r="P148" t="str">
        <f t="shared" si="5"/>
        <v>jkhalifa</v>
      </c>
    </row>
    <row r="149" spans="7:16" x14ac:dyDescent="0.4">
      <c r="G149" s="24" t="s">
        <v>723</v>
      </c>
      <c r="H149" s="24" t="s">
        <v>675</v>
      </c>
      <c r="I149" s="24"/>
      <c r="J149" s="25">
        <v>3</v>
      </c>
      <c r="K149" s="25"/>
      <c r="L149" s="26">
        <v>3</v>
      </c>
      <c r="N149">
        <f t="shared" si="4"/>
        <v>0</v>
      </c>
      <c r="O149">
        <f t="shared" si="6"/>
        <v>0</v>
      </c>
      <c r="P149" t="str">
        <f t="shared" si="5"/>
        <v>jlerheim</v>
      </c>
    </row>
    <row r="150" spans="7:16" x14ac:dyDescent="0.4">
      <c r="G150" s="24" t="s">
        <v>290</v>
      </c>
      <c r="H150" s="24" t="s">
        <v>292</v>
      </c>
      <c r="I150" s="24">
        <v>6</v>
      </c>
      <c r="J150" s="25"/>
      <c r="K150" s="25"/>
      <c r="L150" s="26">
        <v>6</v>
      </c>
      <c r="N150">
        <f t="shared" si="4"/>
        <v>1</v>
      </c>
      <c r="O150">
        <f t="shared" si="6"/>
        <v>0</v>
      </c>
      <c r="P150" t="str">
        <f t="shared" si="5"/>
        <v>jmialon</v>
      </c>
    </row>
    <row r="151" spans="7:16" x14ac:dyDescent="0.4">
      <c r="G151" s="24" t="s">
        <v>293</v>
      </c>
      <c r="H151" s="24" t="s">
        <v>294</v>
      </c>
      <c r="I151" s="24">
        <v>6</v>
      </c>
      <c r="J151" s="25"/>
      <c r="K151" s="25"/>
      <c r="L151" s="26">
        <v>6</v>
      </c>
      <c r="N151">
        <f t="shared" si="4"/>
        <v>1</v>
      </c>
      <c r="O151">
        <f t="shared" si="6"/>
        <v>0</v>
      </c>
      <c r="P151" t="str">
        <f t="shared" si="5"/>
        <v>jperez1</v>
      </c>
    </row>
    <row r="152" spans="7:16" x14ac:dyDescent="0.4">
      <c r="G152" s="24" t="s">
        <v>295</v>
      </c>
      <c r="H152" s="24" t="s">
        <v>297</v>
      </c>
      <c r="I152" s="24"/>
      <c r="J152" s="25">
        <v>6</v>
      </c>
      <c r="K152" s="25"/>
      <c r="L152" s="26">
        <v>6</v>
      </c>
      <c r="N152">
        <f t="shared" si="4"/>
        <v>1</v>
      </c>
      <c r="O152">
        <f t="shared" si="6"/>
        <v>1</v>
      </c>
      <c r="P152" t="str">
        <f t="shared" si="5"/>
        <v/>
      </c>
    </row>
    <row r="153" spans="7:16" x14ac:dyDescent="0.4">
      <c r="G153" s="24" t="s">
        <v>640</v>
      </c>
      <c r="H153" s="24" t="s">
        <v>641</v>
      </c>
      <c r="I153" s="24"/>
      <c r="J153" s="25">
        <v>3</v>
      </c>
      <c r="K153" s="25"/>
      <c r="L153" s="26">
        <v>3</v>
      </c>
      <c r="N153">
        <f t="shared" si="4"/>
        <v>0</v>
      </c>
      <c r="O153">
        <f t="shared" si="6"/>
        <v>0</v>
      </c>
      <c r="P153" t="str">
        <f t="shared" si="5"/>
        <v>jszulcbaptista</v>
      </c>
    </row>
    <row r="154" spans="7:16" x14ac:dyDescent="0.4">
      <c r="G154" s="24" t="s">
        <v>298</v>
      </c>
      <c r="H154" s="24" t="s">
        <v>300</v>
      </c>
      <c r="I154" s="24">
        <v>6</v>
      </c>
      <c r="J154" s="25"/>
      <c r="K154" s="25"/>
      <c r="L154" s="26">
        <v>6</v>
      </c>
      <c r="N154">
        <f t="shared" si="4"/>
        <v>1</v>
      </c>
      <c r="O154">
        <f t="shared" si="6"/>
        <v>0</v>
      </c>
      <c r="P154" t="str">
        <f t="shared" si="5"/>
        <v>kespinasse</v>
      </c>
    </row>
    <row r="155" spans="7:16" x14ac:dyDescent="0.4">
      <c r="G155" s="24" t="s">
        <v>301</v>
      </c>
      <c r="H155" s="24" t="s">
        <v>219</v>
      </c>
      <c r="I155" s="24"/>
      <c r="J155" s="25">
        <v>6</v>
      </c>
      <c r="K155" s="25"/>
      <c r="L155" s="26">
        <v>6</v>
      </c>
      <c r="N155">
        <f t="shared" si="4"/>
        <v>1</v>
      </c>
      <c r="O155">
        <f t="shared" si="6"/>
        <v>1</v>
      </c>
      <c r="P155" t="str">
        <f t="shared" si="5"/>
        <v/>
      </c>
    </row>
    <row r="156" spans="7:16" x14ac:dyDescent="0.4">
      <c r="G156" s="24" t="s">
        <v>303</v>
      </c>
      <c r="H156" s="24" t="s">
        <v>305</v>
      </c>
      <c r="I156" s="24"/>
      <c r="J156" s="25">
        <v>6</v>
      </c>
      <c r="K156" s="25"/>
      <c r="L156" s="26">
        <v>6</v>
      </c>
      <c r="N156">
        <f t="shared" si="4"/>
        <v>1</v>
      </c>
      <c r="O156">
        <f t="shared" si="6"/>
        <v>1</v>
      </c>
      <c r="P156" t="str">
        <f t="shared" si="5"/>
        <v/>
      </c>
    </row>
    <row r="157" spans="7:16" x14ac:dyDescent="0.4">
      <c r="G157" s="24" t="s">
        <v>306</v>
      </c>
      <c r="H157" s="24" t="s">
        <v>308</v>
      </c>
      <c r="I157" s="24">
        <v>6</v>
      </c>
      <c r="J157" s="25"/>
      <c r="K157" s="25"/>
      <c r="L157" s="26">
        <v>6</v>
      </c>
      <c r="N157">
        <f t="shared" si="4"/>
        <v>1</v>
      </c>
      <c r="O157">
        <f t="shared" si="6"/>
        <v>0</v>
      </c>
      <c r="P157" t="str">
        <f t="shared" si="5"/>
        <v>ladutreix</v>
      </c>
    </row>
    <row r="158" spans="7:16" x14ac:dyDescent="0.4">
      <c r="G158" s="24" t="s">
        <v>309</v>
      </c>
      <c r="H158" s="24" t="s">
        <v>311</v>
      </c>
      <c r="I158" s="24"/>
      <c r="J158" s="25">
        <v>6</v>
      </c>
      <c r="K158" s="25"/>
      <c r="L158" s="26">
        <v>6</v>
      </c>
      <c r="N158">
        <f t="shared" si="4"/>
        <v>1</v>
      </c>
      <c r="O158">
        <f t="shared" si="6"/>
        <v>1</v>
      </c>
      <c r="P158" t="str">
        <f t="shared" si="5"/>
        <v/>
      </c>
    </row>
    <row r="159" spans="7:16" x14ac:dyDescent="0.4">
      <c r="G159" s="24" t="s">
        <v>312</v>
      </c>
      <c r="H159" s="24" t="s">
        <v>314</v>
      </c>
      <c r="I159" s="24"/>
      <c r="J159" s="25">
        <v>6</v>
      </c>
      <c r="K159" s="25"/>
      <c r="L159" s="26">
        <v>6</v>
      </c>
      <c r="N159">
        <f t="shared" si="4"/>
        <v>1</v>
      </c>
      <c r="O159">
        <f t="shared" si="6"/>
        <v>1</v>
      </c>
      <c r="P159" t="str">
        <f t="shared" si="5"/>
        <v/>
      </c>
    </row>
    <row r="160" spans="7:16" x14ac:dyDescent="0.4">
      <c r="G160" s="24" t="s">
        <v>315</v>
      </c>
      <c r="H160" s="24" t="s">
        <v>316</v>
      </c>
      <c r="I160" s="24"/>
      <c r="J160" s="25">
        <v>6</v>
      </c>
      <c r="K160" s="25"/>
      <c r="L160" s="26">
        <v>6</v>
      </c>
      <c r="N160">
        <f t="shared" si="4"/>
        <v>1</v>
      </c>
      <c r="O160">
        <f t="shared" si="6"/>
        <v>1</v>
      </c>
      <c r="P160" t="str">
        <f t="shared" si="5"/>
        <v/>
      </c>
    </row>
    <row r="161" spans="7:16" x14ac:dyDescent="0.4">
      <c r="G161" s="24" t="s">
        <v>317</v>
      </c>
      <c r="H161" s="24" t="s">
        <v>319</v>
      </c>
      <c r="I161" s="24">
        <v>5</v>
      </c>
      <c r="J161" s="25">
        <v>1</v>
      </c>
      <c r="K161" s="25"/>
      <c r="L161" s="26">
        <v>6</v>
      </c>
      <c r="N161">
        <f t="shared" si="4"/>
        <v>1</v>
      </c>
      <c r="O161">
        <f t="shared" si="6"/>
        <v>0</v>
      </c>
      <c r="P161" t="str">
        <f t="shared" si="5"/>
        <v>lchavanon</v>
      </c>
    </row>
    <row r="162" spans="7:16" x14ac:dyDescent="0.4">
      <c r="G162" s="24" t="s">
        <v>713</v>
      </c>
      <c r="H162" s="24" t="s">
        <v>705</v>
      </c>
      <c r="I162" s="24"/>
      <c r="J162" s="25">
        <v>1</v>
      </c>
      <c r="K162" s="25"/>
      <c r="L162" s="26">
        <v>1</v>
      </c>
      <c r="N162">
        <f t="shared" si="4"/>
        <v>0</v>
      </c>
      <c r="O162">
        <f t="shared" si="6"/>
        <v>0</v>
      </c>
      <c r="P162" t="str">
        <f t="shared" si="5"/>
        <v>ldelaurent</v>
      </c>
    </row>
    <row r="163" spans="7:16" x14ac:dyDescent="0.4">
      <c r="G163" s="24" t="s">
        <v>320</v>
      </c>
      <c r="H163" s="24" t="s">
        <v>322</v>
      </c>
      <c r="I163" s="24">
        <v>1</v>
      </c>
      <c r="J163" s="25">
        <v>5</v>
      </c>
      <c r="K163" s="25"/>
      <c r="L163" s="26">
        <v>6</v>
      </c>
      <c r="N163">
        <f t="shared" si="4"/>
        <v>1</v>
      </c>
      <c r="O163">
        <f t="shared" si="6"/>
        <v>1</v>
      </c>
      <c r="P163" t="str">
        <f t="shared" si="5"/>
        <v/>
      </c>
    </row>
    <row r="164" spans="7:16" x14ac:dyDescent="0.4">
      <c r="G164" s="24" t="s">
        <v>323</v>
      </c>
      <c r="H164" s="24" t="s">
        <v>324</v>
      </c>
      <c r="I164" s="24"/>
      <c r="J164" s="25">
        <v>6</v>
      </c>
      <c r="K164" s="25"/>
      <c r="L164" s="26">
        <v>6</v>
      </c>
      <c r="N164">
        <f t="shared" si="4"/>
        <v>1</v>
      </c>
      <c r="O164">
        <f t="shared" si="6"/>
        <v>1</v>
      </c>
      <c r="P164" t="str">
        <f t="shared" si="5"/>
        <v/>
      </c>
    </row>
    <row r="165" spans="7:16" x14ac:dyDescent="0.4">
      <c r="G165" s="24" t="s">
        <v>325</v>
      </c>
      <c r="H165" s="24" t="s">
        <v>326</v>
      </c>
      <c r="I165" s="24"/>
      <c r="J165" s="25">
        <v>6</v>
      </c>
      <c r="K165" s="25"/>
      <c r="L165" s="26">
        <v>6</v>
      </c>
      <c r="N165">
        <f t="shared" si="4"/>
        <v>1</v>
      </c>
      <c r="O165">
        <f t="shared" si="6"/>
        <v>1</v>
      </c>
      <c r="P165" t="str">
        <f t="shared" si="5"/>
        <v/>
      </c>
    </row>
    <row r="166" spans="7:16" x14ac:dyDescent="0.4">
      <c r="G166" s="24" t="s">
        <v>327</v>
      </c>
      <c r="H166" s="24" t="s">
        <v>329</v>
      </c>
      <c r="I166" s="24"/>
      <c r="J166" s="25">
        <v>6</v>
      </c>
      <c r="K166" s="25"/>
      <c r="L166" s="26">
        <v>6</v>
      </c>
      <c r="N166">
        <f t="shared" ref="N166:N229" si="7">IF(L166&gt;4,1,0)</f>
        <v>1</v>
      </c>
      <c r="O166">
        <f t="shared" si="6"/>
        <v>1</v>
      </c>
      <c r="P166" t="str">
        <f t="shared" ref="P166:P229" si="8">IF(OR(ISBLANK(J166),J166&lt;5),G166,"")</f>
        <v/>
      </c>
    </row>
    <row r="167" spans="7:16" x14ac:dyDescent="0.4">
      <c r="G167" s="24" t="s">
        <v>330</v>
      </c>
      <c r="H167" s="24" t="s">
        <v>332</v>
      </c>
      <c r="I167" s="24"/>
      <c r="J167" s="25">
        <v>6</v>
      </c>
      <c r="K167" s="25"/>
      <c r="L167" s="26">
        <v>6</v>
      </c>
      <c r="N167">
        <f t="shared" si="7"/>
        <v>1</v>
      </c>
      <c r="O167">
        <f t="shared" ref="O167:O230" si="9">IF(J167&gt;4,1,0)</f>
        <v>1</v>
      </c>
      <c r="P167" t="str">
        <f t="shared" si="8"/>
        <v/>
      </c>
    </row>
    <row r="168" spans="7:16" x14ac:dyDescent="0.4">
      <c r="G168" s="24" t="s">
        <v>731</v>
      </c>
      <c r="H168" s="24" t="s">
        <v>690</v>
      </c>
      <c r="I168" s="24"/>
      <c r="J168" s="25">
        <v>2</v>
      </c>
      <c r="K168" s="25"/>
      <c r="L168" s="26">
        <v>2</v>
      </c>
      <c r="N168">
        <f t="shared" si="7"/>
        <v>0</v>
      </c>
      <c r="O168">
        <f t="shared" si="9"/>
        <v>0</v>
      </c>
      <c r="P168" t="str">
        <f t="shared" si="8"/>
        <v>lmarinot</v>
      </c>
    </row>
    <row r="169" spans="7:16" x14ac:dyDescent="0.4">
      <c r="G169" s="24" t="s">
        <v>333</v>
      </c>
      <c r="H169" s="24" t="s">
        <v>335</v>
      </c>
      <c r="I169" s="24">
        <v>6</v>
      </c>
      <c r="J169" s="25"/>
      <c r="K169" s="25"/>
      <c r="L169" s="26">
        <v>6</v>
      </c>
      <c r="N169">
        <f t="shared" si="7"/>
        <v>1</v>
      </c>
      <c r="O169">
        <f t="shared" si="9"/>
        <v>0</v>
      </c>
      <c r="P169" t="str">
        <f t="shared" si="8"/>
        <v>lmaudry</v>
      </c>
    </row>
    <row r="170" spans="7:16" x14ac:dyDescent="0.4">
      <c r="G170" s="24" t="s">
        <v>336</v>
      </c>
      <c r="H170" s="24" t="s">
        <v>338</v>
      </c>
      <c r="I170" s="24"/>
      <c r="J170" s="25">
        <v>6</v>
      </c>
      <c r="K170" s="25"/>
      <c r="L170" s="26">
        <v>6</v>
      </c>
      <c r="N170">
        <f t="shared" si="7"/>
        <v>1</v>
      </c>
      <c r="O170">
        <f t="shared" si="9"/>
        <v>1</v>
      </c>
      <c r="P170" t="str">
        <f t="shared" si="8"/>
        <v/>
      </c>
    </row>
    <row r="171" spans="7:16" x14ac:dyDescent="0.4">
      <c r="G171" s="24" t="s">
        <v>339</v>
      </c>
      <c r="H171" s="24" t="s">
        <v>340</v>
      </c>
      <c r="I171" s="24">
        <v>6</v>
      </c>
      <c r="J171" s="25"/>
      <c r="K171" s="25"/>
      <c r="L171" s="26">
        <v>6</v>
      </c>
      <c r="N171">
        <f t="shared" si="7"/>
        <v>1</v>
      </c>
      <c r="O171">
        <f t="shared" si="9"/>
        <v>0</v>
      </c>
      <c r="P171" t="str">
        <f t="shared" si="8"/>
        <v>lminghetti</v>
      </c>
    </row>
    <row r="172" spans="7:16" x14ac:dyDescent="0.4">
      <c r="G172" s="24" t="s">
        <v>631</v>
      </c>
      <c r="H172" s="24" t="s">
        <v>629</v>
      </c>
      <c r="I172" s="24"/>
      <c r="J172" s="25">
        <v>4</v>
      </c>
      <c r="K172" s="25"/>
      <c r="L172" s="26">
        <v>4</v>
      </c>
      <c r="N172">
        <f t="shared" si="7"/>
        <v>0</v>
      </c>
      <c r="O172">
        <f t="shared" si="9"/>
        <v>0</v>
      </c>
      <c r="P172" t="str">
        <f t="shared" si="8"/>
        <v>lnolot</v>
      </c>
    </row>
    <row r="173" spans="7:16" x14ac:dyDescent="0.4">
      <c r="G173" s="24" t="s">
        <v>341</v>
      </c>
      <c r="H173" s="24" t="s">
        <v>342</v>
      </c>
      <c r="I173" s="24"/>
      <c r="J173" s="25">
        <v>6</v>
      </c>
      <c r="K173" s="25"/>
      <c r="L173" s="26">
        <v>6</v>
      </c>
      <c r="N173">
        <f t="shared" si="7"/>
        <v>1</v>
      </c>
      <c r="O173">
        <f t="shared" si="9"/>
        <v>1</v>
      </c>
      <c r="P173" t="str">
        <f t="shared" si="8"/>
        <v/>
      </c>
    </row>
    <row r="174" spans="7:16" x14ac:dyDescent="0.4">
      <c r="G174" s="24" t="s">
        <v>343</v>
      </c>
      <c r="H174" s="24" t="s">
        <v>344</v>
      </c>
      <c r="I174" s="24"/>
      <c r="J174" s="25">
        <v>6</v>
      </c>
      <c r="K174" s="25"/>
      <c r="L174" s="26">
        <v>6</v>
      </c>
      <c r="N174">
        <f t="shared" si="7"/>
        <v>1</v>
      </c>
      <c r="O174">
        <f t="shared" si="9"/>
        <v>1</v>
      </c>
      <c r="P174" t="str">
        <f t="shared" si="8"/>
        <v/>
      </c>
    </row>
    <row r="175" spans="7:16" x14ac:dyDescent="0.4">
      <c r="G175" s="24" t="s">
        <v>345</v>
      </c>
      <c r="H175" s="24" t="s">
        <v>347</v>
      </c>
      <c r="I175" s="24"/>
      <c r="J175" s="25">
        <v>6</v>
      </c>
      <c r="K175" s="25"/>
      <c r="L175" s="26">
        <v>6</v>
      </c>
      <c r="N175">
        <f t="shared" si="7"/>
        <v>1</v>
      </c>
      <c r="O175">
        <f t="shared" si="9"/>
        <v>1</v>
      </c>
      <c r="P175" t="str">
        <f t="shared" si="8"/>
        <v/>
      </c>
    </row>
    <row r="176" spans="7:16" x14ac:dyDescent="0.4">
      <c r="G176" s="24" t="s">
        <v>348</v>
      </c>
      <c r="H176" s="24" t="s">
        <v>350</v>
      </c>
      <c r="I176" s="24"/>
      <c r="J176" s="25">
        <v>6</v>
      </c>
      <c r="K176" s="25"/>
      <c r="L176" s="26">
        <v>6</v>
      </c>
      <c r="N176">
        <f t="shared" si="7"/>
        <v>1</v>
      </c>
      <c r="O176">
        <f t="shared" si="9"/>
        <v>1</v>
      </c>
      <c r="P176" t="str">
        <f t="shared" si="8"/>
        <v/>
      </c>
    </row>
    <row r="177" spans="7:16" x14ac:dyDescent="0.4">
      <c r="G177" s="24" t="s">
        <v>351</v>
      </c>
      <c r="H177" s="24" t="s">
        <v>353</v>
      </c>
      <c r="I177" s="24">
        <v>6</v>
      </c>
      <c r="J177" s="25"/>
      <c r="K177" s="25"/>
      <c r="L177" s="26">
        <v>6</v>
      </c>
      <c r="N177">
        <f t="shared" si="7"/>
        <v>1</v>
      </c>
      <c r="O177">
        <f t="shared" si="9"/>
        <v>0</v>
      </c>
      <c r="P177" t="str">
        <f t="shared" si="8"/>
        <v>mamellies</v>
      </c>
    </row>
    <row r="178" spans="7:16" x14ac:dyDescent="0.4">
      <c r="G178" s="24" t="s">
        <v>354</v>
      </c>
      <c r="H178" s="24" t="s">
        <v>356</v>
      </c>
      <c r="I178" s="24"/>
      <c r="J178" s="25">
        <v>6</v>
      </c>
      <c r="K178" s="25"/>
      <c r="L178" s="26">
        <v>6</v>
      </c>
      <c r="N178">
        <f t="shared" si="7"/>
        <v>1</v>
      </c>
      <c r="O178">
        <f t="shared" si="9"/>
        <v>1</v>
      </c>
      <c r="P178" t="str">
        <f t="shared" si="8"/>
        <v/>
      </c>
    </row>
    <row r="179" spans="7:16" x14ac:dyDescent="0.4">
      <c r="G179" s="24" t="s">
        <v>357</v>
      </c>
      <c r="H179" s="24" t="s">
        <v>359</v>
      </c>
      <c r="I179" s="24">
        <v>5</v>
      </c>
      <c r="J179" s="25">
        <v>1</v>
      </c>
      <c r="K179" s="25"/>
      <c r="L179" s="26">
        <v>6</v>
      </c>
      <c r="N179">
        <f t="shared" si="7"/>
        <v>1</v>
      </c>
      <c r="O179">
        <f t="shared" si="9"/>
        <v>0</v>
      </c>
      <c r="P179" t="str">
        <f t="shared" si="8"/>
        <v>mathanebest</v>
      </c>
    </row>
    <row r="180" spans="7:16" x14ac:dyDescent="0.4">
      <c r="G180" s="24" t="s">
        <v>360</v>
      </c>
      <c r="H180" s="24" t="s">
        <v>362</v>
      </c>
      <c r="I180" s="24"/>
      <c r="J180" s="25">
        <v>6</v>
      </c>
      <c r="K180" s="25"/>
      <c r="L180" s="26">
        <v>6</v>
      </c>
      <c r="N180">
        <f t="shared" si="7"/>
        <v>1</v>
      </c>
      <c r="O180">
        <f t="shared" si="9"/>
        <v>1</v>
      </c>
      <c r="P180" t="str">
        <f t="shared" si="8"/>
        <v/>
      </c>
    </row>
    <row r="181" spans="7:16" x14ac:dyDescent="0.4">
      <c r="G181" s="24" t="s">
        <v>363</v>
      </c>
      <c r="H181" s="24" t="s">
        <v>364</v>
      </c>
      <c r="I181" s="24"/>
      <c r="J181" s="25">
        <v>6</v>
      </c>
      <c r="K181" s="25"/>
      <c r="L181" s="26">
        <v>6</v>
      </c>
      <c r="N181">
        <f t="shared" si="7"/>
        <v>1</v>
      </c>
      <c r="O181">
        <f t="shared" si="9"/>
        <v>1</v>
      </c>
      <c r="P181" t="str">
        <f t="shared" si="8"/>
        <v/>
      </c>
    </row>
    <row r="182" spans="7:16" x14ac:dyDescent="0.4">
      <c r="G182" s="24" t="s">
        <v>715</v>
      </c>
      <c r="H182" s="24" t="s">
        <v>657</v>
      </c>
      <c r="I182" s="24"/>
      <c r="J182" s="25">
        <v>2</v>
      </c>
      <c r="K182" s="25"/>
      <c r="L182" s="26">
        <v>2</v>
      </c>
      <c r="N182">
        <f t="shared" si="7"/>
        <v>0</v>
      </c>
      <c r="O182">
        <f t="shared" si="9"/>
        <v>0</v>
      </c>
      <c r="P182" t="str">
        <f t="shared" si="8"/>
        <v>mcattiaux</v>
      </c>
    </row>
    <row r="183" spans="7:16" x14ac:dyDescent="0.4">
      <c r="G183" s="24" t="s">
        <v>736</v>
      </c>
      <c r="H183" s="24" t="s">
        <v>698</v>
      </c>
      <c r="I183" s="24"/>
      <c r="J183" s="25">
        <v>1</v>
      </c>
      <c r="K183" s="25"/>
      <c r="L183" s="26">
        <v>1</v>
      </c>
      <c r="N183">
        <f t="shared" si="7"/>
        <v>0</v>
      </c>
      <c r="O183">
        <f t="shared" si="9"/>
        <v>0</v>
      </c>
      <c r="P183" t="str">
        <f t="shared" si="8"/>
        <v>mdevalicourt</v>
      </c>
    </row>
    <row r="184" spans="7:16" x14ac:dyDescent="0.4">
      <c r="G184" s="24" t="s">
        <v>637</v>
      </c>
      <c r="H184" s="24" t="s">
        <v>636</v>
      </c>
      <c r="I184" s="24"/>
      <c r="J184" s="25">
        <v>2</v>
      </c>
      <c r="K184" s="25"/>
      <c r="L184" s="26">
        <v>2</v>
      </c>
      <c r="N184">
        <f t="shared" si="7"/>
        <v>0</v>
      </c>
      <c r="O184">
        <f t="shared" si="9"/>
        <v>0</v>
      </c>
      <c r="P184" t="str">
        <f t="shared" si="8"/>
        <v>mfiorina</v>
      </c>
    </row>
    <row r="185" spans="7:16" x14ac:dyDescent="0.4">
      <c r="G185" s="24" t="s">
        <v>737</v>
      </c>
      <c r="H185" s="24" t="s">
        <v>233</v>
      </c>
      <c r="I185" s="24"/>
      <c r="J185" s="25">
        <v>3</v>
      </c>
      <c r="K185" s="25"/>
      <c r="L185" s="26">
        <v>3</v>
      </c>
      <c r="N185">
        <f t="shared" si="7"/>
        <v>0</v>
      </c>
      <c r="O185">
        <f t="shared" si="9"/>
        <v>0</v>
      </c>
      <c r="P185" t="str">
        <f t="shared" si="8"/>
        <v>mhenry</v>
      </c>
    </row>
    <row r="186" spans="7:16" x14ac:dyDescent="0.4">
      <c r="G186" s="24" t="s">
        <v>624</v>
      </c>
      <c r="H186" s="24" t="s">
        <v>233</v>
      </c>
      <c r="I186" s="24"/>
      <c r="J186" s="25">
        <v>1</v>
      </c>
      <c r="K186" s="25"/>
      <c r="L186" s="26">
        <v>1</v>
      </c>
      <c r="N186">
        <f t="shared" si="7"/>
        <v>0</v>
      </c>
      <c r="O186">
        <f t="shared" si="9"/>
        <v>0</v>
      </c>
      <c r="P186" t="str">
        <f t="shared" si="8"/>
        <v>mhenry2</v>
      </c>
    </row>
    <row r="187" spans="7:16" x14ac:dyDescent="0.4">
      <c r="G187" s="24" t="s">
        <v>727</v>
      </c>
      <c r="H187" s="24" t="s">
        <v>682</v>
      </c>
      <c r="I187" s="24"/>
      <c r="J187" s="25">
        <v>2</v>
      </c>
      <c r="K187" s="25"/>
      <c r="L187" s="26">
        <v>2</v>
      </c>
      <c r="N187">
        <f t="shared" si="7"/>
        <v>0</v>
      </c>
      <c r="O187">
        <f t="shared" si="9"/>
        <v>0</v>
      </c>
      <c r="P187" t="str">
        <f t="shared" si="8"/>
        <v>mherouard</v>
      </c>
    </row>
    <row r="188" spans="7:16" x14ac:dyDescent="0.4">
      <c r="G188" s="24" t="s">
        <v>365</v>
      </c>
      <c r="H188" s="24" t="s">
        <v>367</v>
      </c>
      <c r="I188" s="24"/>
      <c r="J188" s="25">
        <v>6</v>
      </c>
      <c r="K188" s="25"/>
      <c r="L188" s="26">
        <v>6</v>
      </c>
      <c r="N188">
        <f t="shared" si="7"/>
        <v>1</v>
      </c>
      <c r="O188">
        <f t="shared" si="9"/>
        <v>1</v>
      </c>
      <c r="P188" t="str">
        <f t="shared" si="8"/>
        <v/>
      </c>
    </row>
    <row r="189" spans="7:16" x14ac:dyDescent="0.4">
      <c r="G189" s="24" t="s">
        <v>368</v>
      </c>
      <c r="H189" s="24" t="s">
        <v>370</v>
      </c>
      <c r="I189" s="24"/>
      <c r="J189" s="25">
        <v>6</v>
      </c>
      <c r="K189" s="25"/>
      <c r="L189" s="26">
        <v>6</v>
      </c>
      <c r="N189">
        <f t="shared" si="7"/>
        <v>1</v>
      </c>
      <c r="O189">
        <f t="shared" si="9"/>
        <v>1</v>
      </c>
      <c r="P189" t="str">
        <f t="shared" si="8"/>
        <v/>
      </c>
    </row>
    <row r="190" spans="7:16" x14ac:dyDescent="0.4">
      <c r="G190" s="24" t="s">
        <v>371</v>
      </c>
      <c r="H190" s="24" t="s">
        <v>373</v>
      </c>
      <c r="I190" s="24"/>
      <c r="J190" s="25">
        <v>6</v>
      </c>
      <c r="K190" s="25"/>
      <c r="L190" s="26">
        <v>6</v>
      </c>
      <c r="N190">
        <f t="shared" si="7"/>
        <v>1</v>
      </c>
      <c r="O190">
        <f t="shared" si="9"/>
        <v>1</v>
      </c>
      <c r="P190" t="str">
        <f t="shared" si="8"/>
        <v/>
      </c>
    </row>
    <row r="191" spans="7:16" x14ac:dyDescent="0.4">
      <c r="G191" s="24" t="s">
        <v>653</v>
      </c>
      <c r="H191" s="24" t="s">
        <v>656</v>
      </c>
      <c r="I191" s="24"/>
      <c r="J191" s="25">
        <v>1</v>
      </c>
      <c r="K191" s="25"/>
      <c r="L191" s="26">
        <v>1</v>
      </c>
      <c r="N191">
        <f t="shared" si="7"/>
        <v>0</v>
      </c>
      <c r="O191">
        <f t="shared" si="9"/>
        <v>0</v>
      </c>
      <c r="P191" t="str">
        <f t="shared" si="8"/>
        <v>mmesplededevalicourt</v>
      </c>
    </row>
    <row r="192" spans="7:16" x14ac:dyDescent="0.4">
      <c r="G192" s="24" t="s">
        <v>374</v>
      </c>
      <c r="H192" s="24" t="s">
        <v>376</v>
      </c>
      <c r="I192" s="24">
        <v>5</v>
      </c>
      <c r="J192" s="25"/>
      <c r="K192" s="25"/>
      <c r="L192" s="26">
        <v>5</v>
      </c>
      <c r="N192">
        <f t="shared" si="7"/>
        <v>1</v>
      </c>
      <c r="O192">
        <f t="shared" si="9"/>
        <v>0</v>
      </c>
      <c r="P192" t="str">
        <f t="shared" si="8"/>
        <v>mmetzger</v>
      </c>
    </row>
    <row r="193" spans="7:16" x14ac:dyDescent="0.4">
      <c r="G193" s="24" t="s">
        <v>377</v>
      </c>
      <c r="H193" s="24" t="s">
        <v>379</v>
      </c>
      <c r="I193" s="24">
        <v>6</v>
      </c>
      <c r="J193" s="25"/>
      <c r="K193" s="25"/>
      <c r="L193" s="26">
        <v>6</v>
      </c>
      <c r="N193">
        <f t="shared" si="7"/>
        <v>1</v>
      </c>
      <c r="O193">
        <f t="shared" si="9"/>
        <v>0</v>
      </c>
      <c r="P193" t="str">
        <f t="shared" si="8"/>
        <v>mmichel1</v>
      </c>
    </row>
    <row r="194" spans="7:16" x14ac:dyDescent="0.4">
      <c r="G194" s="24" t="s">
        <v>380</v>
      </c>
      <c r="H194" s="24" t="s">
        <v>382</v>
      </c>
      <c r="I194" s="24">
        <v>5</v>
      </c>
      <c r="J194" s="25"/>
      <c r="K194" s="25"/>
      <c r="L194" s="26">
        <v>5</v>
      </c>
      <c r="N194">
        <f t="shared" si="7"/>
        <v>1</v>
      </c>
      <c r="O194">
        <f t="shared" si="9"/>
        <v>0</v>
      </c>
      <c r="P194" t="str">
        <f t="shared" si="8"/>
        <v>mmnatsakanyan</v>
      </c>
    </row>
    <row r="195" spans="7:16" x14ac:dyDescent="0.4">
      <c r="G195" s="24" t="s">
        <v>383</v>
      </c>
      <c r="H195" s="24" t="s">
        <v>385</v>
      </c>
      <c r="I195" s="24">
        <v>6</v>
      </c>
      <c r="J195" s="25"/>
      <c r="K195" s="25"/>
      <c r="L195" s="26">
        <v>6</v>
      </c>
      <c r="N195">
        <f t="shared" si="7"/>
        <v>1</v>
      </c>
      <c r="O195">
        <f t="shared" si="9"/>
        <v>0</v>
      </c>
      <c r="P195" t="str">
        <f t="shared" si="8"/>
        <v>mnakahira1</v>
      </c>
    </row>
    <row r="196" spans="7:16" x14ac:dyDescent="0.4">
      <c r="G196" s="24" t="s">
        <v>386</v>
      </c>
      <c r="H196" s="24" t="s">
        <v>388</v>
      </c>
      <c r="I196" s="24"/>
      <c r="J196" s="25">
        <v>6</v>
      </c>
      <c r="K196" s="25"/>
      <c r="L196" s="26">
        <v>6</v>
      </c>
      <c r="N196">
        <f t="shared" si="7"/>
        <v>1</v>
      </c>
      <c r="O196">
        <f t="shared" si="9"/>
        <v>1</v>
      </c>
      <c r="P196" t="str">
        <f t="shared" si="8"/>
        <v/>
      </c>
    </row>
    <row r="197" spans="7:16" x14ac:dyDescent="0.4">
      <c r="G197" s="24" t="s">
        <v>389</v>
      </c>
      <c r="H197" s="24" t="s">
        <v>390</v>
      </c>
      <c r="I197" s="24"/>
      <c r="J197" s="25">
        <v>6</v>
      </c>
      <c r="K197" s="25"/>
      <c r="L197" s="26">
        <v>6</v>
      </c>
      <c r="N197">
        <f t="shared" si="7"/>
        <v>1</v>
      </c>
      <c r="O197">
        <f t="shared" si="9"/>
        <v>1</v>
      </c>
      <c r="P197" t="str">
        <f t="shared" si="8"/>
        <v/>
      </c>
    </row>
    <row r="198" spans="7:16" x14ac:dyDescent="0.4">
      <c r="G198" s="24" t="s">
        <v>391</v>
      </c>
      <c r="H198" s="24" t="s">
        <v>393</v>
      </c>
      <c r="I198" s="24"/>
      <c r="J198" s="25">
        <v>6</v>
      </c>
      <c r="K198" s="25"/>
      <c r="L198" s="26">
        <v>6</v>
      </c>
      <c r="N198">
        <f t="shared" si="7"/>
        <v>1</v>
      </c>
      <c r="O198">
        <f t="shared" si="9"/>
        <v>1</v>
      </c>
      <c r="P198" t="str">
        <f t="shared" si="8"/>
        <v/>
      </c>
    </row>
    <row r="199" spans="7:16" x14ac:dyDescent="0.4">
      <c r="G199" s="24" t="s">
        <v>716</v>
      </c>
      <c r="H199" s="24" t="s">
        <v>658</v>
      </c>
      <c r="I199" s="24"/>
      <c r="J199" s="25">
        <v>3</v>
      </c>
      <c r="K199" s="25"/>
      <c r="L199" s="26">
        <v>3</v>
      </c>
      <c r="N199">
        <f t="shared" si="7"/>
        <v>0</v>
      </c>
      <c r="O199">
        <f t="shared" si="9"/>
        <v>0</v>
      </c>
      <c r="P199" t="str">
        <f t="shared" si="8"/>
        <v>mribeyron</v>
      </c>
    </row>
    <row r="200" spans="7:16" x14ac:dyDescent="0.4">
      <c r="G200" s="24" t="s">
        <v>394</v>
      </c>
      <c r="H200" s="24" t="s">
        <v>396</v>
      </c>
      <c r="I200" s="24">
        <v>6</v>
      </c>
      <c r="J200" s="25"/>
      <c r="K200" s="25"/>
      <c r="L200" s="26">
        <v>6</v>
      </c>
      <c r="N200">
        <f t="shared" si="7"/>
        <v>1</v>
      </c>
      <c r="O200">
        <f t="shared" si="9"/>
        <v>0</v>
      </c>
      <c r="P200" t="str">
        <f t="shared" si="8"/>
        <v>mroumegas</v>
      </c>
    </row>
    <row r="201" spans="7:16" x14ac:dyDescent="0.4">
      <c r="G201" s="24" t="s">
        <v>397</v>
      </c>
      <c r="H201" s="24" t="s">
        <v>399</v>
      </c>
      <c r="I201" s="24"/>
      <c r="J201" s="25">
        <v>6</v>
      </c>
      <c r="K201" s="25"/>
      <c r="L201" s="26">
        <v>6</v>
      </c>
      <c r="N201">
        <f t="shared" si="7"/>
        <v>1</v>
      </c>
      <c r="O201">
        <f t="shared" si="9"/>
        <v>1</v>
      </c>
      <c r="P201" t="str">
        <f t="shared" si="8"/>
        <v/>
      </c>
    </row>
    <row r="202" spans="7:16" x14ac:dyDescent="0.4">
      <c r="G202" s="24" t="s">
        <v>400</v>
      </c>
      <c r="H202" s="24" t="s">
        <v>402</v>
      </c>
      <c r="I202" s="24"/>
      <c r="J202" s="25">
        <v>6</v>
      </c>
      <c r="K202" s="25"/>
      <c r="L202" s="26">
        <v>6</v>
      </c>
      <c r="N202">
        <f t="shared" si="7"/>
        <v>1</v>
      </c>
      <c r="O202">
        <f t="shared" si="9"/>
        <v>1</v>
      </c>
      <c r="P202" t="str">
        <f t="shared" si="8"/>
        <v/>
      </c>
    </row>
    <row r="203" spans="7:16" x14ac:dyDescent="0.4">
      <c r="G203" s="24" t="s">
        <v>403</v>
      </c>
      <c r="H203" s="24" t="s">
        <v>405</v>
      </c>
      <c r="I203" s="24">
        <v>1</v>
      </c>
      <c r="J203" s="25">
        <v>5</v>
      </c>
      <c r="K203" s="25"/>
      <c r="L203" s="26">
        <v>6</v>
      </c>
      <c r="N203">
        <f t="shared" si="7"/>
        <v>1</v>
      </c>
      <c r="O203">
        <f t="shared" si="9"/>
        <v>1</v>
      </c>
      <c r="P203" t="str">
        <f t="shared" si="8"/>
        <v/>
      </c>
    </row>
    <row r="204" spans="7:16" x14ac:dyDescent="0.4">
      <c r="G204" s="24" t="s">
        <v>406</v>
      </c>
      <c r="H204" s="24" t="s">
        <v>408</v>
      </c>
      <c r="I204" s="24"/>
      <c r="J204" s="25">
        <v>6</v>
      </c>
      <c r="K204" s="25"/>
      <c r="L204" s="26">
        <v>6</v>
      </c>
      <c r="N204">
        <f t="shared" si="7"/>
        <v>1</v>
      </c>
      <c r="O204">
        <f t="shared" si="9"/>
        <v>1</v>
      </c>
      <c r="P204" t="str">
        <f t="shared" si="8"/>
        <v/>
      </c>
    </row>
    <row r="205" spans="7:16" x14ac:dyDescent="0.4">
      <c r="G205" s="24" t="s">
        <v>733</v>
      </c>
      <c r="H205" s="24" t="s">
        <v>693</v>
      </c>
      <c r="I205" s="24"/>
      <c r="J205" s="25">
        <v>1</v>
      </c>
      <c r="K205" s="25"/>
      <c r="L205" s="26">
        <v>1</v>
      </c>
      <c r="N205">
        <f t="shared" si="7"/>
        <v>0</v>
      </c>
      <c r="O205">
        <f t="shared" si="9"/>
        <v>0</v>
      </c>
      <c r="P205" t="str">
        <f t="shared" si="8"/>
        <v>mtaraconat</v>
      </c>
    </row>
    <row r="206" spans="7:16" x14ac:dyDescent="0.4">
      <c r="G206" s="24" t="s">
        <v>409</v>
      </c>
      <c r="H206" s="24" t="s">
        <v>411</v>
      </c>
      <c r="I206" s="24">
        <v>6</v>
      </c>
      <c r="J206" s="25"/>
      <c r="K206" s="25"/>
      <c r="L206" s="26">
        <v>6</v>
      </c>
      <c r="N206">
        <f t="shared" si="7"/>
        <v>1</v>
      </c>
      <c r="O206">
        <f t="shared" si="9"/>
        <v>0</v>
      </c>
      <c r="P206" t="str">
        <f t="shared" si="8"/>
        <v>mulrich</v>
      </c>
    </row>
    <row r="207" spans="7:16" x14ac:dyDescent="0.4">
      <c r="G207" s="24" t="s">
        <v>412</v>
      </c>
      <c r="H207" s="24" t="s">
        <v>414</v>
      </c>
      <c r="I207" s="24">
        <v>1</v>
      </c>
      <c r="J207" s="25">
        <v>5</v>
      </c>
      <c r="K207" s="25"/>
      <c r="L207" s="26">
        <v>6</v>
      </c>
      <c r="N207">
        <f t="shared" si="7"/>
        <v>1</v>
      </c>
      <c r="O207">
        <f t="shared" si="9"/>
        <v>1</v>
      </c>
      <c r="P207" t="str">
        <f t="shared" si="8"/>
        <v/>
      </c>
    </row>
    <row r="208" spans="7:16" x14ac:dyDescent="0.4">
      <c r="G208" s="24" t="s">
        <v>415</v>
      </c>
      <c r="H208" s="24" t="s">
        <v>417</v>
      </c>
      <c r="I208" s="24">
        <v>6</v>
      </c>
      <c r="J208" s="25"/>
      <c r="K208" s="25"/>
      <c r="L208" s="26">
        <v>6</v>
      </c>
      <c r="N208">
        <f t="shared" si="7"/>
        <v>1</v>
      </c>
      <c r="O208">
        <f t="shared" si="9"/>
        <v>0</v>
      </c>
      <c r="P208" t="str">
        <f t="shared" si="8"/>
        <v>mvignier</v>
      </c>
    </row>
    <row r="209" spans="7:16" x14ac:dyDescent="0.4">
      <c r="G209" s="24" t="s">
        <v>740</v>
      </c>
      <c r="H209" s="24" t="s">
        <v>701</v>
      </c>
      <c r="I209" s="24"/>
      <c r="J209" s="25">
        <v>1</v>
      </c>
      <c r="K209" s="25"/>
      <c r="L209" s="26">
        <v>1</v>
      </c>
      <c r="N209">
        <f t="shared" si="7"/>
        <v>0</v>
      </c>
      <c r="O209">
        <f t="shared" si="9"/>
        <v>0</v>
      </c>
      <c r="P209" t="str">
        <f t="shared" si="8"/>
        <v>ndecreus</v>
      </c>
    </row>
    <row r="210" spans="7:16" x14ac:dyDescent="0.4">
      <c r="G210" s="24" t="s">
        <v>418</v>
      </c>
      <c r="H210" s="24" t="s">
        <v>420</v>
      </c>
      <c r="I210" s="24"/>
      <c r="J210" s="25">
        <v>6</v>
      </c>
      <c r="K210" s="25"/>
      <c r="L210" s="26">
        <v>6</v>
      </c>
      <c r="N210">
        <f t="shared" si="7"/>
        <v>1</v>
      </c>
      <c r="O210">
        <f t="shared" si="9"/>
        <v>1</v>
      </c>
      <c r="P210" t="str">
        <f t="shared" si="8"/>
        <v/>
      </c>
    </row>
    <row r="211" spans="7:16" x14ac:dyDescent="0.4">
      <c r="G211" s="24" t="s">
        <v>421</v>
      </c>
      <c r="H211" s="24" t="s">
        <v>423</v>
      </c>
      <c r="I211" s="24"/>
      <c r="J211" s="25">
        <v>6</v>
      </c>
      <c r="K211" s="25"/>
      <c r="L211" s="26">
        <v>6</v>
      </c>
      <c r="N211">
        <f t="shared" si="7"/>
        <v>1</v>
      </c>
      <c r="O211">
        <f t="shared" si="9"/>
        <v>1</v>
      </c>
      <c r="P211" t="str">
        <f t="shared" si="8"/>
        <v/>
      </c>
    </row>
    <row r="212" spans="7:16" x14ac:dyDescent="0.4">
      <c r="G212" s="24" t="s">
        <v>725</v>
      </c>
      <c r="H212" s="24" t="s">
        <v>678</v>
      </c>
      <c r="I212" s="24"/>
      <c r="J212" s="25">
        <v>2</v>
      </c>
      <c r="K212" s="25"/>
      <c r="L212" s="26">
        <v>2</v>
      </c>
      <c r="N212">
        <f t="shared" si="7"/>
        <v>0</v>
      </c>
      <c r="O212">
        <f t="shared" si="9"/>
        <v>0</v>
      </c>
      <c r="P212" t="str">
        <f t="shared" si="8"/>
        <v>nguerlavas</v>
      </c>
    </row>
    <row r="213" spans="7:16" x14ac:dyDescent="0.4">
      <c r="G213" s="24" t="s">
        <v>424</v>
      </c>
      <c r="H213" s="24" t="s">
        <v>426</v>
      </c>
      <c r="I213" s="24">
        <v>1</v>
      </c>
      <c r="J213" s="25">
        <v>5</v>
      </c>
      <c r="K213" s="25"/>
      <c r="L213" s="26">
        <v>6</v>
      </c>
      <c r="N213">
        <f t="shared" si="7"/>
        <v>1</v>
      </c>
      <c r="O213">
        <f t="shared" si="9"/>
        <v>1</v>
      </c>
      <c r="P213" t="str">
        <f t="shared" si="8"/>
        <v/>
      </c>
    </row>
    <row r="214" spans="7:16" x14ac:dyDescent="0.4">
      <c r="G214" s="24" t="s">
        <v>427</v>
      </c>
      <c r="H214" s="24" t="s">
        <v>428</v>
      </c>
      <c r="I214" s="24"/>
      <c r="J214" s="25">
        <v>6</v>
      </c>
      <c r="K214" s="25"/>
      <c r="L214" s="26">
        <v>6</v>
      </c>
      <c r="N214">
        <f t="shared" si="7"/>
        <v>1</v>
      </c>
      <c r="O214">
        <f t="shared" si="9"/>
        <v>1</v>
      </c>
      <c r="P214" t="str">
        <f t="shared" si="8"/>
        <v/>
      </c>
    </row>
    <row r="215" spans="7:16" x14ac:dyDescent="0.4">
      <c r="G215" s="24" t="s">
        <v>429</v>
      </c>
      <c r="H215" s="24" t="s">
        <v>431</v>
      </c>
      <c r="I215" s="24"/>
      <c r="J215" s="25">
        <v>6</v>
      </c>
      <c r="K215" s="25"/>
      <c r="L215" s="26">
        <v>6</v>
      </c>
      <c r="N215">
        <f t="shared" si="7"/>
        <v>1</v>
      </c>
      <c r="O215">
        <f t="shared" si="9"/>
        <v>1</v>
      </c>
      <c r="P215" t="str">
        <f t="shared" si="8"/>
        <v/>
      </c>
    </row>
    <row r="216" spans="7:16" x14ac:dyDescent="0.4">
      <c r="G216" s="24" t="s">
        <v>432</v>
      </c>
      <c r="H216" s="24" t="s">
        <v>434</v>
      </c>
      <c r="I216" s="24"/>
      <c r="J216" s="25">
        <v>6</v>
      </c>
      <c r="K216" s="25"/>
      <c r="L216" s="26">
        <v>6</v>
      </c>
      <c r="N216">
        <f t="shared" si="7"/>
        <v>1</v>
      </c>
      <c r="O216">
        <f t="shared" si="9"/>
        <v>1</v>
      </c>
      <c r="P216" t="str">
        <f t="shared" si="8"/>
        <v/>
      </c>
    </row>
    <row r="217" spans="7:16" x14ac:dyDescent="0.4">
      <c r="G217" s="24" t="s">
        <v>435</v>
      </c>
      <c r="H217" s="24" t="s">
        <v>437</v>
      </c>
      <c r="I217" s="24"/>
      <c r="J217" s="25">
        <v>6</v>
      </c>
      <c r="K217" s="25"/>
      <c r="L217" s="26">
        <v>6</v>
      </c>
      <c r="N217">
        <f t="shared" si="7"/>
        <v>1</v>
      </c>
      <c r="O217">
        <f t="shared" si="9"/>
        <v>1</v>
      </c>
      <c r="P217" t="str">
        <f t="shared" si="8"/>
        <v/>
      </c>
    </row>
    <row r="218" spans="7:16" x14ac:dyDescent="0.4">
      <c r="G218" s="24" t="s">
        <v>438</v>
      </c>
      <c r="H218" s="24" t="s">
        <v>440</v>
      </c>
      <c r="I218" s="24">
        <v>6</v>
      </c>
      <c r="J218" s="25"/>
      <c r="K218" s="25"/>
      <c r="L218" s="26">
        <v>6</v>
      </c>
      <c r="N218">
        <f t="shared" si="7"/>
        <v>1</v>
      </c>
      <c r="O218">
        <f t="shared" si="9"/>
        <v>0</v>
      </c>
      <c r="P218" t="str">
        <f t="shared" si="8"/>
        <v>nnadja</v>
      </c>
    </row>
    <row r="219" spans="7:16" x14ac:dyDescent="0.4">
      <c r="G219" s="24" t="s">
        <v>441</v>
      </c>
      <c r="H219" s="24" t="s">
        <v>443</v>
      </c>
      <c r="I219" s="24">
        <v>6</v>
      </c>
      <c r="J219" s="25"/>
      <c r="K219" s="25"/>
      <c r="L219" s="26">
        <v>6</v>
      </c>
      <c r="N219">
        <f t="shared" si="7"/>
        <v>1</v>
      </c>
      <c r="O219">
        <f t="shared" si="9"/>
        <v>0</v>
      </c>
      <c r="P219" t="str">
        <f t="shared" si="8"/>
        <v>nnoufel</v>
      </c>
    </row>
    <row r="220" spans="7:16" x14ac:dyDescent="0.4">
      <c r="G220" s="24" t="s">
        <v>742</v>
      </c>
      <c r="H220" s="24" t="s">
        <v>707</v>
      </c>
      <c r="I220" s="24"/>
      <c r="J220" s="25">
        <v>1</v>
      </c>
      <c r="K220" s="25"/>
      <c r="L220" s="26">
        <v>1</v>
      </c>
      <c r="N220">
        <f t="shared" si="7"/>
        <v>0</v>
      </c>
      <c r="O220">
        <f t="shared" si="9"/>
        <v>0</v>
      </c>
      <c r="P220" t="str">
        <f t="shared" si="8"/>
        <v>nprotois</v>
      </c>
    </row>
    <row r="221" spans="7:16" x14ac:dyDescent="0.4">
      <c r="G221" s="24" t="s">
        <v>444</v>
      </c>
      <c r="H221" s="24" t="s">
        <v>446</v>
      </c>
      <c r="I221" s="24"/>
      <c r="J221" s="25">
        <v>6</v>
      </c>
      <c r="K221" s="25"/>
      <c r="L221" s="26">
        <v>6</v>
      </c>
      <c r="N221">
        <f t="shared" si="7"/>
        <v>1</v>
      </c>
      <c r="O221">
        <f t="shared" si="9"/>
        <v>1</v>
      </c>
      <c r="P221" t="str">
        <f t="shared" si="8"/>
        <v/>
      </c>
    </row>
    <row r="222" spans="7:16" x14ac:dyDescent="0.4">
      <c r="G222" s="24" t="s">
        <v>447</v>
      </c>
      <c r="H222" s="24" t="s">
        <v>449</v>
      </c>
      <c r="I222" s="24">
        <v>2</v>
      </c>
      <c r="J222" s="25">
        <v>4</v>
      </c>
      <c r="K222" s="25"/>
      <c r="L222" s="26">
        <v>6</v>
      </c>
      <c r="N222">
        <f t="shared" si="7"/>
        <v>1</v>
      </c>
      <c r="O222">
        <f t="shared" si="9"/>
        <v>0</v>
      </c>
      <c r="P222" t="str">
        <f t="shared" si="8"/>
        <v>nroyer</v>
      </c>
    </row>
    <row r="223" spans="7:16" x14ac:dyDescent="0.4">
      <c r="G223" s="24" t="s">
        <v>450</v>
      </c>
      <c r="H223" s="24" t="s">
        <v>452</v>
      </c>
      <c r="I223" s="24">
        <v>1</v>
      </c>
      <c r="J223" s="25">
        <v>5</v>
      </c>
      <c r="K223" s="25"/>
      <c r="L223" s="26">
        <v>6</v>
      </c>
      <c r="N223">
        <f t="shared" si="7"/>
        <v>1</v>
      </c>
      <c r="O223">
        <f t="shared" si="9"/>
        <v>1</v>
      </c>
      <c r="P223" t="str">
        <f t="shared" si="8"/>
        <v/>
      </c>
    </row>
    <row r="224" spans="7:16" x14ac:dyDescent="0.4">
      <c r="G224" s="24" t="s">
        <v>453</v>
      </c>
      <c r="H224" s="24" t="s">
        <v>455</v>
      </c>
      <c r="I224" s="24"/>
      <c r="J224" s="25">
        <v>6</v>
      </c>
      <c r="K224" s="25"/>
      <c r="L224" s="26">
        <v>6</v>
      </c>
      <c r="N224">
        <f t="shared" si="7"/>
        <v>1</v>
      </c>
      <c r="O224">
        <f t="shared" si="9"/>
        <v>1</v>
      </c>
      <c r="P224" t="str">
        <f t="shared" si="8"/>
        <v/>
      </c>
    </row>
    <row r="225" spans="7:16" x14ac:dyDescent="0.4">
      <c r="G225" s="24" t="s">
        <v>456</v>
      </c>
      <c r="H225" s="24" t="s">
        <v>458</v>
      </c>
      <c r="I225" s="24"/>
      <c r="J225" s="25">
        <v>6</v>
      </c>
      <c r="K225" s="25"/>
      <c r="L225" s="26">
        <v>6</v>
      </c>
      <c r="N225">
        <f t="shared" si="7"/>
        <v>1</v>
      </c>
      <c r="O225">
        <f t="shared" si="9"/>
        <v>1</v>
      </c>
      <c r="P225" t="str">
        <f t="shared" si="8"/>
        <v/>
      </c>
    </row>
    <row r="226" spans="7:16" x14ac:dyDescent="0.4">
      <c r="G226" s="24" t="s">
        <v>720</v>
      </c>
      <c r="H226" s="24" t="s">
        <v>669</v>
      </c>
      <c r="I226" s="24"/>
      <c r="J226" s="25">
        <v>3</v>
      </c>
      <c r="K226" s="25"/>
      <c r="L226" s="26">
        <v>3</v>
      </c>
      <c r="N226">
        <f t="shared" si="7"/>
        <v>0</v>
      </c>
      <c r="O226">
        <f t="shared" si="9"/>
        <v>0</v>
      </c>
      <c r="P226" t="str">
        <f t="shared" si="8"/>
        <v>omakhloufi</v>
      </c>
    </row>
    <row r="227" spans="7:16" x14ac:dyDescent="0.4">
      <c r="G227" s="24" t="s">
        <v>459</v>
      </c>
      <c r="H227" s="24" t="s">
        <v>461</v>
      </c>
      <c r="I227" s="24">
        <v>5</v>
      </c>
      <c r="J227" s="25"/>
      <c r="K227" s="25"/>
      <c r="L227" s="26">
        <v>5</v>
      </c>
      <c r="N227">
        <f t="shared" si="7"/>
        <v>1</v>
      </c>
      <c r="O227">
        <f t="shared" si="9"/>
        <v>0</v>
      </c>
      <c r="P227" t="str">
        <f t="shared" si="8"/>
        <v>parenioult</v>
      </c>
    </row>
    <row r="228" spans="7:16" x14ac:dyDescent="0.4">
      <c r="G228" s="24" t="s">
        <v>722</v>
      </c>
      <c r="H228" s="24" t="s">
        <v>673</v>
      </c>
      <c r="I228" s="24"/>
      <c r="J228" s="25">
        <v>2</v>
      </c>
      <c r="K228" s="25"/>
      <c r="L228" s="26">
        <v>2</v>
      </c>
      <c r="N228">
        <f t="shared" si="7"/>
        <v>0</v>
      </c>
      <c r="O228">
        <f t="shared" si="9"/>
        <v>0</v>
      </c>
      <c r="P228" t="str">
        <f t="shared" si="8"/>
        <v>pcambianica</v>
      </c>
    </row>
    <row r="229" spans="7:16" x14ac:dyDescent="0.4">
      <c r="G229" s="24" t="s">
        <v>643</v>
      </c>
      <c r="H229" s="24" t="s">
        <v>144</v>
      </c>
      <c r="I229" s="24"/>
      <c r="J229" s="25">
        <v>1</v>
      </c>
      <c r="K229" s="25"/>
      <c r="L229" s="26">
        <v>1</v>
      </c>
      <c r="N229">
        <f t="shared" si="7"/>
        <v>0</v>
      </c>
      <c r="O229">
        <f t="shared" si="9"/>
        <v>0</v>
      </c>
      <c r="P229" t="str">
        <f t="shared" si="8"/>
        <v>pcwang</v>
      </c>
    </row>
    <row r="230" spans="7:16" x14ac:dyDescent="0.4">
      <c r="G230" s="24" t="s">
        <v>462</v>
      </c>
      <c r="H230" s="24" t="s">
        <v>464</v>
      </c>
      <c r="I230" s="24">
        <v>6</v>
      </c>
      <c r="J230" s="25"/>
      <c r="K230" s="25"/>
      <c r="L230" s="26">
        <v>6</v>
      </c>
      <c r="N230">
        <f t="shared" ref="N230:N289" si="10">IF(L230&gt;4,1,0)</f>
        <v>1</v>
      </c>
      <c r="O230">
        <f t="shared" si="9"/>
        <v>0</v>
      </c>
      <c r="P230" t="str">
        <f t="shared" ref="P230:P287" si="11">IF(OR(ISBLANK(J230),J230&lt;5),G230,"")</f>
        <v>pefaye</v>
      </c>
    </row>
    <row r="231" spans="7:16" x14ac:dyDescent="0.4">
      <c r="G231" s="24" t="s">
        <v>465</v>
      </c>
      <c r="H231" s="24" t="s">
        <v>467</v>
      </c>
      <c r="I231" s="24">
        <v>6</v>
      </c>
      <c r="J231" s="25"/>
      <c r="K231" s="25"/>
      <c r="L231" s="26">
        <v>6</v>
      </c>
      <c r="N231">
        <f t="shared" si="10"/>
        <v>1</v>
      </c>
      <c r="O231">
        <f t="shared" ref="O231:O287" si="12">IF(J231&gt;4,1,0)</f>
        <v>0</v>
      </c>
      <c r="P231" t="str">
        <f t="shared" si="11"/>
        <v>pfaget</v>
      </c>
    </row>
    <row r="232" spans="7:16" x14ac:dyDescent="0.4">
      <c r="G232" s="24" t="s">
        <v>468</v>
      </c>
      <c r="H232" s="24" t="s">
        <v>470</v>
      </c>
      <c r="I232" s="24"/>
      <c r="J232" s="25">
        <v>6</v>
      </c>
      <c r="K232" s="25"/>
      <c r="L232" s="26">
        <v>6</v>
      </c>
      <c r="N232">
        <f t="shared" si="10"/>
        <v>1</v>
      </c>
      <c r="O232">
        <f t="shared" si="12"/>
        <v>1</v>
      </c>
      <c r="P232" t="str">
        <f t="shared" si="11"/>
        <v/>
      </c>
    </row>
    <row r="233" spans="7:16" x14ac:dyDescent="0.4">
      <c r="G233" s="24" t="s">
        <v>471</v>
      </c>
      <c r="H233" s="24" t="s">
        <v>473</v>
      </c>
      <c r="I233" s="24"/>
      <c r="J233" s="25">
        <v>5</v>
      </c>
      <c r="K233" s="25"/>
      <c r="L233" s="26">
        <v>5</v>
      </c>
      <c r="N233">
        <f t="shared" si="10"/>
        <v>1</v>
      </c>
      <c r="O233">
        <f t="shared" si="12"/>
        <v>1</v>
      </c>
      <c r="P233" t="str">
        <f t="shared" si="11"/>
        <v/>
      </c>
    </row>
    <row r="234" spans="7:16" x14ac:dyDescent="0.4">
      <c r="G234" s="24" t="s">
        <v>474</v>
      </c>
      <c r="H234" s="24" t="s">
        <v>475</v>
      </c>
      <c r="I234" s="24"/>
      <c r="J234" s="25">
        <v>6</v>
      </c>
      <c r="K234" s="25"/>
      <c r="L234" s="26">
        <v>6</v>
      </c>
      <c r="N234">
        <f t="shared" si="10"/>
        <v>1</v>
      </c>
      <c r="O234">
        <f t="shared" si="12"/>
        <v>1</v>
      </c>
      <c r="P234" t="str">
        <f t="shared" si="11"/>
        <v/>
      </c>
    </row>
    <row r="235" spans="7:16" x14ac:dyDescent="0.4">
      <c r="G235" s="24" t="s">
        <v>476</v>
      </c>
      <c r="H235" s="24" t="s">
        <v>478</v>
      </c>
      <c r="I235" s="24">
        <v>6</v>
      </c>
      <c r="J235" s="25"/>
      <c r="K235" s="25"/>
      <c r="L235" s="26">
        <v>6</v>
      </c>
      <c r="N235">
        <f t="shared" si="10"/>
        <v>1</v>
      </c>
      <c r="O235">
        <f t="shared" si="12"/>
        <v>0</v>
      </c>
      <c r="P235" t="str">
        <f t="shared" si="11"/>
        <v>pnschena</v>
      </c>
    </row>
    <row r="236" spans="7:16" x14ac:dyDescent="0.4">
      <c r="G236" s="24" t="s">
        <v>479</v>
      </c>
      <c r="H236" s="24" t="s">
        <v>481</v>
      </c>
      <c r="I236" s="24"/>
      <c r="J236" s="25">
        <v>6</v>
      </c>
      <c r="K236" s="25"/>
      <c r="L236" s="26">
        <v>6</v>
      </c>
      <c r="N236">
        <f t="shared" si="10"/>
        <v>1</v>
      </c>
      <c r="O236">
        <f t="shared" si="12"/>
        <v>1</v>
      </c>
      <c r="P236" t="str">
        <f t="shared" si="11"/>
        <v/>
      </c>
    </row>
    <row r="237" spans="7:16" x14ac:dyDescent="0.4">
      <c r="G237" s="24" t="s">
        <v>738</v>
      </c>
      <c r="H237" s="24" t="s">
        <v>144</v>
      </c>
      <c r="I237" s="24"/>
      <c r="J237" s="25">
        <v>3</v>
      </c>
      <c r="K237" s="25"/>
      <c r="L237" s="26">
        <v>3</v>
      </c>
      <c r="N237">
        <f t="shared" si="10"/>
        <v>0</v>
      </c>
      <c r="O237">
        <f t="shared" si="12"/>
        <v>0</v>
      </c>
      <c r="P237" t="str">
        <f t="shared" si="11"/>
        <v>pwang</v>
      </c>
    </row>
    <row r="238" spans="7:16" x14ac:dyDescent="0.4">
      <c r="G238" s="24" t="s">
        <v>482</v>
      </c>
      <c r="H238" s="24" t="s">
        <v>484</v>
      </c>
      <c r="I238" s="24"/>
      <c r="J238" s="25">
        <v>6</v>
      </c>
      <c r="K238" s="25"/>
      <c r="L238" s="26">
        <v>6</v>
      </c>
      <c r="N238">
        <f t="shared" si="10"/>
        <v>1</v>
      </c>
      <c r="O238">
        <f t="shared" si="12"/>
        <v>1</v>
      </c>
      <c r="P238" t="str">
        <f t="shared" si="11"/>
        <v/>
      </c>
    </row>
    <row r="239" spans="7:16" x14ac:dyDescent="0.4">
      <c r="G239" s="24" t="s">
        <v>650</v>
      </c>
      <c r="H239" s="24" t="s">
        <v>651</v>
      </c>
      <c r="I239" s="24"/>
      <c r="J239" s="25">
        <v>2</v>
      </c>
      <c r="K239" s="25"/>
      <c r="L239" s="26">
        <v>2</v>
      </c>
      <c r="N239">
        <f t="shared" si="10"/>
        <v>0</v>
      </c>
      <c r="O239">
        <f t="shared" si="12"/>
        <v>0</v>
      </c>
      <c r="P239" t="str">
        <f t="shared" si="11"/>
        <v>rcorjon</v>
      </c>
    </row>
    <row r="240" spans="7:16" x14ac:dyDescent="0.4">
      <c r="G240" s="24" t="s">
        <v>485</v>
      </c>
      <c r="H240" s="24" t="s">
        <v>487</v>
      </c>
      <c r="I240" s="24">
        <v>6</v>
      </c>
      <c r="J240" s="25"/>
      <c r="K240" s="25"/>
      <c r="L240" s="26">
        <v>6</v>
      </c>
      <c r="N240">
        <f t="shared" si="10"/>
        <v>1</v>
      </c>
      <c r="O240">
        <f t="shared" si="12"/>
        <v>0</v>
      </c>
      <c r="P240" t="str">
        <f t="shared" si="11"/>
        <v>rdehors</v>
      </c>
    </row>
    <row r="241" spans="7:16" x14ac:dyDescent="0.4">
      <c r="G241" s="24" t="s">
        <v>488</v>
      </c>
      <c r="H241" s="24" t="s">
        <v>490</v>
      </c>
      <c r="I241" s="24">
        <v>6</v>
      </c>
      <c r="J241" s="25"/>
      <c r="K241" s="25"/>
      <c r="L241" s="26">
        <v>6</v>
      </c>
      <c r="N241">
        <f t="shared" si="10"/>
        <v>1</v>
      </c>
      <c r="O241">
        <f t="shared" si="12"/>
        <v>0</v>
      </c>
      <c r="P241" t="str">
        <f t="shared" si="11"/>
        <v>rgatti</v>
      </c>
    </row>
    <row r="242" spans="7:16" x14ac:dyDescent="0.4">
      <c r="G242" s="24" t="s">
        <v>491</v>
      </c>
      <c r="H242" s="24" t="s">
        <v>492</v>
      </c>
      <c r="I242" s="24"/>
      <c r="J242" s="25">
        <v>6</v>
      </c>
      <c r="K242" s="25"/>
      <c r="L242" s="26">
        <v>6</v>
      </c>
      <c r="N242">
        <f t="shared" si="10"/>
        <v>1</v>
      </c>
      <c r="O242">
        <f t="shared" si="12"/>
        <v>1</v>
      </c>
      <c r="P242" t="str">
        <f t="shared" si="11"/>
        <v/>
      </c>
    </row>
    <row r="243" spans="7:16" x14ac:dyDescent="0.4">
      <c r="G243" s="24" t="s">
        <v>493</v>
      </c>
      <c r="H243" s="24" t="s">
        <v>495</v>
      </c>
      <c r="I243" s="24"/>
      <c r="J243" s="25">
        <v>6</v>
      </c>
      <c r="K243" s="25"/>
      <c r="L243" s="26">
        <v>6</v>
      </c>
      <c r="N243">
        <f t="shared" si="10"/>
        <v>1</v>
      </c>
      <c r="O243">
        <f t="shared" si="12"/>
        <v>1</v>
      </c>
      <c r="P243" t="str">
        <f t="shared" si="11"/>
        <v/>
      </c>
    </row>
    <row r="244" spans="7:16" x14ac:dyDescent="0.4">
      <c r="G244" s="24" t="s">
        <v>496</v>
      </c>
      <c r="H244" s="24" t="s">
        <v>498</v>
      </c>
      <c r="I244" s="24"/>
      <c r="J244" s="25">
        <v>6</v>
      </c>
      <c r="K244" s="25"/>
      <c r="L244" s="26">
        <v>6</v>
      </c>
      <c r="N244">
        <f t="shared" si="10"/>
        <v>1</v>
      </c>
      <c r="O244">
        <f t="shared" si="12"/>
        <v>1</v>
      </c>
      <c r="P244" t="str">
        <f t="shared" si="11"/>
        <v/>
      </c>
    </row>
    <row r="245" spans="7:16" x14ac:dyDescent="0.4">
      <c r="G245" s="24" t="s">
        <v>499</v>
      </c>
      <c r="H245" s="24" t="s">
        <v>501</v>
      </c>
      <c r="I245" s="24"/>
      <c r="J245" s="25">
        <v>6</v>
      </c>
      <c r="K245" s="25"/>
      <c r="L245" s="26">
        <v>6</v>
      </c>
      <c r="N245">
        <f t="shared" si="10"/>
        <v>1</v>
      </c>
      <c r="O245">
        <f t="shared" si="12"/>
        <v>1</v>
      </c>
      <c r="P245" t="str">
        <f t="shared" si="11"/>
        <v/>
      </c>
    </row>
    <row r="246" spans="7:16" x14ac:dyDescent="0.4">
      <c r="G246" s="24" t="s">
        <v>502</v>
      </c>
      <c r="H246" s="24" t="s">
        <v>504</v>
      </c>
      <c r="I246" s="24"/>
      <c r="J246" s="25">
        <v>6</v>
      </c>
      <c r="K246" s="25"/>
      <c r="L246" s="26">
        <v>6</v>
      </c>
      <c r="N246">
        <f t="shared" si="10"/>
        <v>1</v>
      </c>
      <c r="O246">
        <f t="shared" si="12"/>
        <v>1</v>
      </c>
      <c r="P246" t="str">
        <f t="shared" si="11"/>
        <v/>
      </c>
    </row>
    <row r="247" spans="7:16" x14ac:dyDescent="0.4">
      <c r="G247" s="24" t="s">
        <v>505</v>
      </c>
      <c r="H247" s="24" t="s">
        <v>507</v>
      </c>
      <c r="I247" s="24">
        <v>6</v>
      </c>
      <c r="J247" s="25"/>
      <c r="K247" s="25"/>
      <c r="L247" s="26">
        <v>6</v>
      </c>
      <c r="N247">
        <f t="shared" si="10"/>
        <v>1</v>
      </c>
      <c r="O247">
        <f t="shared" si="12"/>
        <v>0</v>
      </c>
      <c r="P247" t="str">
        <f t="shared" si="11"/>
        <v>rnormand-condat</v>
      </c>
    </row>
    <row r="248" spans="7:16" x14ac:dyDescent="0.4">
      <c r="G248" s="24" t="s">
        <v>508</v>
      </c>
      <c r="H248" s="24" t="s">
        <v>510</v>
      </c>
      <c r="I248" s="24"/>
      <c r="J248" s="25">
        <v>6</v>
      </c>
      <c r="K248" s="25"/>
      <c r="L248" s="26">
        <v>6</v>
      </c>
      <c r="N248">
        <f t="shared" si="10"/>
        <v>1</v>
      </c>
      <c r="O248">
        <f t="shared" si="12"/>
        <v>1</v>
      </c>
      <c r="P248" t="str">
        <f t="shared" si="11"/>
        <v/>
      </c>
    </row>
    <row r="249" spans="7:16" x14ac:dyDescent="0.4">
      <c r="G249" s="24" t="s">
        <v>511</v>
      </c>
      <c r="H249" s="24" t="s">
        <v>513</v>
      </c>
      <c r="I249" s="24">
        <v>1</v>
      </c>
      <c r="J249" s="25">
        <v>5</v>
      </c>
      <c r="K249" s="25"/>
      <c r="L249" s="26">
        <v>6</v>
      </c>
      <c r="N249">
        <f t="shared" si="10"/>
        <v>1</v>
      </c>
      <c r="O249">
        <f t="shared" si="12"/>
        <v>1</v>
      </c>
      <c r="P249" t="str">
        <f t="shared" si="11"/>
        <v/>
      </c>
    </row>
    <row r="250" spans="7:16" x14ac:dyDescent="0.4">
      <c r="G250" s="24" t="s">
        <v>719</v>
      </c>
      <c r="H250" s="24" t="s">
        <v>667</v>
      </c>
      <c r="I250" s="24"/>
      <c r="J250" s="25">
        <v>2</v>
      </c>
      <c r="K250" s="25"/>
      <c r="L250" s="26">
        <v>2</v>
      </c>
      <c r="N250">
        <f t="shared" si="10"/>
        <v>0</v>
      </c>
      <c r="O250">
        <f t="shared" si="12"/>
        <v>0</v>
      </c>
      <c r="P250" t="str">
        <f t="shared" si="11"/>
        <v>sgiordano</v>
      </c>
    </row>
    <row r="251" spans="7:16" x14ac:dyDescent="0.4">
      <c r="G251" s="24" t="s">
        <v>514</v>
      </c>
      <c r="H251" s="24" t="s">
        <v>516</v>
      </c>
      <c r="I251" s="24">
        <v>1</v>
      </c>
      <c r="J251" s="25">
        <v>5</v>
      </c>
      <c r="K251" s="25"/>
      <c r="L251" s="26">
        <v>6</v>
      </c>
      <c r="N251">
        <f t="shared" si="10"/>
        <v>1</v>
      </c>
      <c r="O251">
        <f t="shared" si="12"/>
        <v>1</v>
      </c>
      <c r="P251" t="str">
        <f t="shared" si="11"/>
        <v/>
      </c>
    </row>
    <row r="252" spans="7:16" x14ac:dyDescent="0.4">
      <c r="G252" s="24" t="s">
        <v>726</v>
      </c>
      <c r="H252" s="24" t="s">
        <v>680</v>
      </c>
      <c r="I252" s="24"/>
      <c r="J252" s="25">
        <v>2</v>
      </c>
      <c r="K252" s="25"/>
      <c r="L252" s="26">
        <v>2</v>
      </c>
      <c r="N252">
        <f t="shared" si="10"/>
        <v>0</v>
      </c>
      <c r="O252">
        <f t="shared" si="12"/>
        <v>0</v>
      </c>
      <c r="P252" t="str">
        <f t="shared" si="11"/>
        <v>shennequin</v>
      </c>
    </row>
    <row r="253" spans="7:16" x14ac:dyDescent="0.4">
      <c r="G253" s="24" t="s">
        <v>517</v>
      </c>
      <c r="H253" s="24" t="s">
        <v>367</v>
      </c>
      <c r="I253" s="24">
        <v>6</v>
      </c>
      <c r="J253" s="25"/>
      <c r="K253" s="25"/>
      <c r="L253" s="26">
        <v>6</v>
      </c>
      <c r="N253">
        <f t="shared" si="10"/>
        <v>1</v>
      </c>
      <c r="O253">
        <f t="shared" si="12"/>
        <v>0</v>
      </c>
      <c r="P253" t="str">
        <f t="shared" si="11"/>
        <v>skim4</v>
      </c>
    </row>
    <row r="254" spans="7:16" x14ac:dyDescent="0.4">
      <c r="G254" s="24" t="s">
        <v>519</v>
      </c>
      <c r="H254" s="24" t="s">
        <v>521</v>
      </c>
      <c r="I254" s="24"/>
      <c r="J254" s="25">
        <v>6</v>
      </c>
      <c r="K254" s="25"/>
      <c r="L254" s="26">
        <v>6</v>
      </c>
      <c r="N254">
        <f t="shared" si="10"/>
        <v>1</v>
      </c>
      <c r="O254">
        <f t="shared" si="12"/>
        <v>1</v>
      </c>
      <c r="P254" t="str">
        <f t="shared" si="11"/>
        <v/>
      </c>
    </row>
    <row r="255" spans="7:16" x14ac:dyDescent="0.4">
      <c r="G255" s="24" t="s">
        <v>522</v>
      </c>
      <c r="H255" s="24" t="s">
        <v>524</v>
      </c>
      <c r="I255" s="24"/>
      <c r="J255" s="25">
        <v>6</v>
      </c>
      <c r="K255" s="25"/>
      <c r="L255" s="26">
        <v>6</v>
      </c>
      <c r="N255">
        <f t="shared" si="10"/>
        <v>1</v>
      </c>
      <c r="O255">
        <f t="shared" si="12"/>
        <v>1</v>
      </c>
      <c r="P255" t="str">
        <f t="shared" si="11"/>
        <v/>
      </c>
    </row>
    <row r="256" spans="7:16" x14ac:dyDescent="0.4">
      <c r="G256" s="24" t="s">
        <v>525</v>
      </c>
      <c r="H256" s="24" t="s">
        <v>527</v>
      </c>
      <c r="I256" s="24"/>
      <c r="J256" s="25">
        <v>6</v>
      </c>
      <c r="K256" s="25"/>
      <c r="L256" s="26">
        <v>6</v>
      </c>
      <c r="N256">
        <f t="shared" si="10"/>
        <v>1</v>
      </c>
      <c r="O256">
        <f t="shared" si="12"/>
        <v>1</v>
      </c>
      <c r="P256" t="str">
        <f t="shared" si="11"/>
        <v/>
      </c>
    </row>
    <row r="257" spans="7:16" x14ac:dyDescent="0.4">
      <c r="G257" s="24" t="s">
        <v>528</v>
      </c>
      <c r="H257" s="24" t="s">
        <v>530</v>
      </c>
      <c r="I257" s="24"/>
      <c r="J257" s="25">
        <v>6</v>
      </c>
      <c r="K257" s="25"/>
      <c r="L257" s="26">
        <v>6</v>
      </c>
      <c r="N257">
        <f t="shared" si="10"/>
        <v>1</v>
      </c>
      <c r="O257">
        <f t="shared" si="12"/>
        <v>1</v>
      </c>
      <c r="P257" t="str">
        <f t="shared" si="11"/>
        <v/>
      </c>
    </row>
    <row r="258" spans="7:16" x14ac:dyDescent="0.4">
      <c r="G258" s="24" t="s">
        <v>531</v>
      </c>
      <c r="H258" s="24" t="s">
        <v>533</v>
      </c>
      <c r="I258" s="24"/>
      <c r="J258" s="25">
        <v>6</v>
      </c>
      <c r="K258" s="25"/>
      <c r="L258" s="26">
        <v>6</v>
      </c>
      <c r="N258">
        <f t="shared" si="10"/>
        <v>1</v>
      </c>
      <c r="O258">
        <f t="shared" si="12"/>
        <v>1</v>
      </c>
      <c r="P258" t="str">
        <f t="shared" si="11"/>
        <v/>
      </c>
    </row>
    <row r="259" spans="7:16" x14ac:dyDescent="0.4">
      <c r="G259" s="24" t="s">
        <v>534</v>
      </c>
      <c r="H259" s="24" t="s">
        <v>535</v>
      </c>
      <c r="I259" s="24"/>
      <c r="J259" s="25">
        <v>6</v>
      </c>
      <c r="K259" s="25"/>
      <c r="L259" s="26">
        <v>6</v>
      </c>
      <c r="N259">
        <f t="shared" si="10"/>
        <v>1</v>
      </c>
      <c r="O259">
        <f t="shared" si="12"/>
        <v>1</v>
      </c>
      <c r="P259" t="str">
        <f t="shared" si="11"/>
        <v/>
      </c>
    </row>
    <row r="260" spans="7:16" x14ac:dyDescent="0.4">
      <c r="G260" s="24" t="s">
        <v>536</v>
      </c>
      <c r="H260" s="24" t="s">
        <v>538</v>
      </c>
      <c r="I260" s="24">
        <v>1</v>
      </c>
      <c r="J260" s="25">
        <v>5</v>
      </c>
      <c r="K260" s="25"/>
      <c r="L260" s="26">
        <v>6</v>
      </c>
      <c r="N260">
        <f t="shared" si="10"/>
        <v>1</v>
      </c>
      <c r="O260">
        <f t="shared" si="12"/>
        <v>1</v>
      </c>
      <c r="P260" t="str">
        <f t="shared" si="11"/>
        <v/>
      </c>
    </row>
    <row r="261" spans="7:16" x14ac:dyDescent="0.4">
      <c r="G261" s="24" t="s">
        <v>539</v>
      </c>
      <c r="H261" s="24" t="s">
        <v>541</v>
      </c>
      <c r="I261" s="24">
        <v>5</v>
      </c>
      <c r="J261" s="25"/>
      <c r="K261" s="25"/>
      <c r="L261" s="26">
        <v>5</v>
      </c>
      <c r="N261">
        <f t="shared" si="10"/>
        <v>1</v>
      </c>
      <c r="O261">
        <f t="shared" si="12"/>
        <v>0</v>
      </c>
      <c r="P261" t="str">
        <f t="shared" si="11"/>
        <v>sshin</v>
      </c>
    </row>
    <row r="262" spans="7:16" x14ac:dyDescent="0.4">
      <c r="G262" s="24" t="s">
        <v>542</v>
      </c>
      <c r="H262" s="24" t="s">
        <v>544</v>
      </c>
      <c r="I262" s="24">
        <v>5</v>
      </c>
      <c r="J262" s="25"/>
      <c r="K262" s="25"/>
      <c r="L262" s="26">
        <v>5</v>
      </c>
      <c r="N262">
        <f t="shared" si="10"/>
        <v>1</v>
      </c>
      <c r="O262">
        <f t="shared" si="12"/>
        <v>0</v>
      </c>
      <c r="P262" t="str">
        <f t="shared" si="11"/>
        <v>ssroulette</v>
      </c>
    </row>
    <row r="263" spans="7:16" x14ac:dyDescent="0.4">
      <c r="G263" s="24" t="s">
        <v>545</v>
      </c>
      <c r="H263" s="24" t="s">
        <v>547</v>
      </c>
      <c r="I263" s="24"/>
      <c r="J263" s="25">
        <v>6</v>
      </c>
      <c r="K263" s="25"/>
      <c r="L263" s="26">
        <v>6</v>
      </c>
      <c r="N263">
        <f t="shared" si="10"/>
        <v>1</v>
      </c>
      <c r="O263">
        <f t="shared" si="12"/>
        <v>1</v>
      </c>
      <c r="P263" t="str">
        <f t="shared" si="11"/>
        <v/>
      </c>
    </row>
    <row r="264" spans="7:16" x14ac:dyDescent="0.4">
      <c r="G264" s="24" t="s">
        <v>548</v>
      </c>
      <c r="H264" s="24" t="s">
        <v>550</v>
      </c>
      <c r="I264" s="24"/>
      <c r="J264" s="25">
        <v>6</v>
      </c>
      <c r="K264" s="25"/>
      <c r="L264" s="26">
        <v>6</v>
      </c>
      <c r="N264">
        <f t="shared" si="10"/>
        <v>1</v>
      </c>
      <c r="O264">
        <f t="shared" si="12"/>
        <v>1</v>
      </c>
      <c r="P264" t="str">
        <f t="shared" si="11"/>
        <v/>
      </c>
    </row>
    <row r="265" spans="7:16" x14ac:dyDescent="0.4">
      <c r="G265" s="24" t="s">
        <v>551</v>
      </c>
      <c r="H265" s="24" t="s">
        <v>553</v>
      </c>
      <c r="I265" s="24"/>
      <c r="J265" s="25">
        <v>6</v>
      </c>
      <c r="K265" s="25"/>
      <c r="L265" s="26">
        <v>6</v>
      </c>
      <c r="N265">
        <f t="shared" si="10"/>
        <v>1</v>
      </c>
      <c r="O265">
        <f t="shared" si="12"/>
        <v>1</v>
      </c>
      <c r="P265" t="str">
        <f t="shared" si="11"/>
        <v/>
      </c>
    </row>
    <row r="266" spans="7:16" x14ac:dyDescent="0.4">
      <c r="G266" s="24" t="s">
        <v>554</v>
      </c>
      <c r="H266" s="24" t="s">
        <v>556</v>
      </c>
      <c r="I266" s="24"/>
      <c r="J266" s="25">
        <v>6</v>
      </c>
      <c r="K266" s="25"/>
      <c r="L266" s="26">
        <v>6</v>
      </c>
      <c r="N266">
        <f t="shared" si="10"/>
        <v>1</v>
      </c>
      <c r="O266">
        <f t="shared" si="12"/>
        <v>1</v>
      </c>
      <c r="P266" t="str">
        <f t="shared" si="11"/>
        <v/>
      </c>
    </row>
    <row r="267" spans="7:16" x14ac:dyDescent="0.4">
      <c r="G267" s="24" t="s">
        <v>557</v>
      </c>
      <c r="H267" s="24" t="s">
        <v>559</v>
      </c>
      <c r="I267" s="24"/>
      <c r="J267" s="25">
        <v>6</v>
      </c>
      <c r="K267" s="25"/>
      <c r="L267" s="26">
        <v>6</v>
      </c>
      <c r="N267">
        <f t="shared" si="10"/>
        <v>1</v>
      </c>
      <c r="O267">
        <f t="shared" si="12"/>
        <v>1</v>
      </c>
      <c r="P267" t="str">
        <f t="shared" si="11"/>
        <v/>
      </c>
    </row>
    <row r="268" spans="7:16" x14ac:dyDescent="0.4">
      <c r="G268" s="24" t="s">
        <v>560</v>
      </c>
      <c r="H268" s="24" t="s">
        <v>562</v>
      </c>
      <c r="I268" s="24"/>
      <c r="J268" s="25">
        <v>6</v>
      </c>
      <c r="K268" s="25"/>
      <c r="L268" s="26">
        <v>6</v>
      </c>
      <c r="N268">
        <f t="shared" si="10"/>
        <v>1</v>
      </c>
      <c r="O268">
        <f t="shared" si="12"/>
        <v>1</v>
      </c>
      <c r="P268" t="str">
        <f t="shared" si="11"/>
        <v/>
      </c>
    </row>
    <row r="269" spans="7:16" x14ac:dyDescent="0.4">
      <c r="G269" s="24" t="s">
        <v>563</v>
      </c>
      <c r="H269" s="24" t="s">
        <v>565</v>
      </c>
      <c r="I269" s="24">
        <v>6</v>
      </c>
      <c r="J269" s="25"/>
      <c r="K269" s="25"/>
      <c r="L269" s="26">
        <v>6</v>
      </c>
      <c r="N269">
        <f t="shared" si="10"/>
        <v>1</v>
      </c>
      <c r="O269">
        <f t="shared" si="12"/>
        <v>0</v>
      </c>
      <c r="P269" t="str">
        <f t="shared" si="11"/>
        <v>tjen</v>
      </c>
    </row>
    <row r="270" spans="7:16" x14ac:dyDescent="0.4">
      <c r="G270" s="24" t="s">
        <v>566</v>
      </c>
      <c r="H270" s="24" t="s">
        <v>568</v>
      </c>
      <c r="I270" s="24"/>
      <c r="J270" s="25">
        <v>6</v>
      </c>
      <c r="K270" s="25"/>
      <c r="L270" s="26">
        <v>6</v>
      </c>
      <c r="N270">
        <f t="shared" si="10"/>
        <v>1</v>
      </c>
      <c r="O270">
        <f t="shared" si="12"/>
        <v>1</v>
      </c>
      <c r="P270" t="str">
        <f t="shared" si="11"/>
        <v/>
      </c>
    </row>
    <row r="271" spans="7:16" x14ac:dyDescent="0.4">
      <c r="G271" s="24" t="s">
        <v>569</v>
      </c>
      <c r="H271" s="24" t="s">
        <v>570</v>
      </c>
      <c r="I271" s="24">
        <v>6</v>
      </c>
      <c r="J271" s="25"/>
      <c r="K271" s="25"/>
      <c r="L271" s="26">
        <v>6</v>
      </c>
      <c r="N271">
        <f t="shared" si="10"/>
        <v>1</v>
      </c>
      <c r="O271">
        <f t="shared" si="12"/>
        <v>0</v>
      </c>
      <c r="P271" t="str">
        <f t="shared" si="11"/>
        <v>tpouye</v>
      </c>
    </row>
    <row r="272" spans="7:16" x14ac:dyDescent="0.4">
      <c r="G272" s="24" t="s">
        <v>571</v>
      </c>
      <c r="H272" s="24" t="s">
        <v>573</v>
      </c>
      <c r="I272" s="24"/>
      <c r="J272" s="25">
        <v>6</v>
      </c>
      <c r="K272" s="25"/>
      <c r="L272" s="26">
        <v>6</v>
      </c>
      <c r="N272">
        <f t="shared" si="10"/>
        <v>1</v>
      </c>
      <c r="O272">
        <f t="shared" si="12"/>
        <v>1</v>
      </c>
      <c r="P272" t="str">
        <f t="shared" si="11"/>
        <v/>
      </c>
    </row>
    <row r="273" spans="7:16" x14ac:dyDescent="0.4">
      <c r="G273" s="24" t="s">
        <v>574</v>
      </c>
      <c r="H273" s="24" t="s">
        <v>576</v>
      </c>
      <c r="I273" s="24"/>
      <c r="J273" s="25">
        <v>6</v>
      </c>
      <c r="K273" s="25"/>
      <c r="L273" s="26">
        <v>6</v>
      </c>
      <c r="N273">
        <f t="shared" si="10"/>
        <v>1</v>
      </c>
      <c r="O273">
        <f t="shared" si="12"/>
        <v>1</v>
      </c>
      <c r="P273" t="str">
        <f t="shared" si="11"/>
        <v/>
      </c>
    </row>
    <row r="274" spans="7:16" x14ac:dyDescent="0.4">
      <c r="G274" s="24" t="s">
        <v>714</v>
      </c>
      <c r="H274" s="24" t="s">
        <v>663</v>
      </c>
      <c r="I274" s="24"/>
      <c r="J274" s="25">
        <v>4</v>
      </c>
      <c r="K274" s="25"/>
      <c r="L274" s="26">
        <v>4</v>
      </c>
      <c r="N274">
        <f t="shared" si="10"/>
        <v>0</v>
      </c>
      <c r="O274">
        <f t="shared" si="12"/>
        <v>0</v>
      </c>
      <c r="P274" t="str">
        <f t="shared" si="11"/>
        <v>vbaptiste</v>
      </c>
    </row>
    <row r="275" spans="7:16" x14ac:dyDescent="0.4">
      <c r="G275" s="24" t="s">
        <v>577</v>
      </c>
      <c r="H275" s="24" t="s">
        <v>579</v>
      </c>
      <c r="I275" s="24">
        <v>1</v>
      </c>
      <c r="J275" s="25">
        <v>5</v>
      </c>
      <c r="K275" s="25"/>
      <c r="L275" s="26">
        <v>6</v>
      </c>
      <c r="N275">
        <f t="shared" si="10"/>
        <v>1</v>
      </c>
      <c r="O275">
        <f t="shared" si="12"/>
        <v>1</v>
      </c>
      <c r="P275" t="str">
        <f t="shared" si="11"/>
        <v/>
      </c>
    </row>
    <row r="276" spans="7:16" x14ac:dyDescent="0.4">
      <c r="G276" s="24" t="s">
        <v>580</v>
      </c>
      <c r="H276" s="24" t="s">
        <v>582</v>
      </c>
      <c r="I276" s="24"/>
      <c r="J276" s="25">
        <v>6</v>
      </c>
      <c r="K276" s="25"/>
      <c r="L276" s="26">
        <v>6</v>
      </c>
      <c r="N276">
        <f t="shared" si="10"/>
        <v>1</v>
      </c>
      <c r="O276">
        <f t="shared" si="12"/>
        <v>1</v>
      </c>
      <c r="P276" t="str">
        <f t="shared" si="11"/>
        <v/>
      </c>
    </row>
    <row r="277" spans="7:16" x14ac:dyDescent="0.4">
      <c r="G277" s="24" t="s">
        <v>583</v>
      </c>
      <c r="H277" s="24" t="s">
        <v>584</v>
      </c>
      <c r="I277" s="24"/>
      <c r="J277" s="25">
        <v>6</v>
      </c>
      <c r="K277" s="25"/>
      <c r="L277" s="26">
        <v>6</v>
      </c>
      <c r="N277">
        <f t="shared" si="10"/>
        <v>1</v>
      </c>
      <c r="O277">
        <f t="shared" si="12"/>
        <v>1</v>
      </c>
      <c r="P277" t="str">
        <f t="shared" si="11"/>
        <v/>
      </c>
    </row>
    <row r="278" spans="7:16" x14ac:dyDescent="0.4">
      <c r="G278" s="24" t="s">
        <v>585</v>
      </c>
      <c r="H278" s="24" t="s">
        <v>587</v>
      </c>
      <c r="I278" s="24">
        <v>4</v>
      </c>
      <c r="J278" s="25">
        <v>2</v>
      </c>
      <c r="K278" s="25"/>
      <c r="L278" s="26">
        <v>6</v>
      </c>
      <c r="N278">
        <f t="shared" si="10"/>
        <v>1</v>
      </c>
      <c r="O278">
        <f t="shared" si="12"/>
        <v>0</v>
      </c>
      <c r="P278" t="str">
        <f t="shared" si="11"/>
        <v>vesnault</v>
      </c>
    </row>
    <row r="279" spans="7:16" x14ac:dyDescent="0.4">
      <c r="G279" s="24" t="s">
        <v>588</v>
      </c>
      <c r="H279" s="24" t="s">
        <v>589</v>
      </c>
      <c r="I279" s="24"/>
      <c r="J279" s="25">
        <v>6</v>
      </c>
      <c r="K279" s="25"/>
      <c r="L279" s="26">
        <v>6</v>
      </c>
      <c r="N279">
        <f t="shared" si="10"/>
        <v>1</v>
      </c>
      <c r="O279">
        <f t="shared" si="12"/>
        <v>1</v>
      </c>
      <c r="P279" t="str">
        <f t="shared" si="11"/>
        <v/>
      </c>
    </row>
    <row r="280" spans="7:16" x14ac:dyDescent="0.4">
      <c r="G280" s="24" t="s">
        <v>590</v>
      </c>
      <c r="H280" s="24" t="s">
        <v>591</v>
      </c>
      <c r="I280" s="24"/>
      <c r="J280" s="25">
        <v>6</v>
      </c>
      <c r="K280" s="25"/>
      <c r="L280" s="26">
        <v>6</v>
      </c>
      <c r="N280">
        <f t="shared" si="10"/>
        <v>1</v>
      </c>
      <c r="O280">
        <f t="shared" si="12"/>
        <v>1</v>
      </c>
      <c r="P280" t="str">
        <f t="shared" si="11"/>
        <v/>
      </c>
    </row>
    <row r="281" spans="7:16" x14ac:dyDescent="0.4">
      <c r="G281" s="24" t="s">
        <v>592</v>
      </c>
      <c r="H281" s="24" t="s">
        <v>594</v>
      </c>
      <c r="I281" s="24">
        <v>6</v>
      </c>
      <c r="J281" s="25"/>
      <c r="K281" s="25"/>
      <c r="L281" s="26">
        <v>6</v>
      </c>
      <c r="N281">
        <f t="shared" si="10"/>
        <v>1</v>
      </c>
      <c r="O281">
        <f t="shared" si="12"/>
        <v>0</v>
      </c>
      <c r="P281" t="str">
        <f t="shared" si="11"/>
        <v>wtechin</v>
      </c>
    </row>
    <row r="282" spans="7:16" x14ac:dyDescent="0.4">
      <c r="G282" s="24" t="s">
        <v>595</v>
      </c>
      <c r="H282" s="24" t="s">
        <v>597</v>
      </c>
      <c r="I282" s="24"/>
      <c r="J282" s="25">
        <v>6</v>
      </c>
      <c r="K282" s="25"/>
      <c r="L282" s="26">
        <v>6</v>
      </c>
      <c r="N282">
        <f t="shared" si="10"/>
        <v>1</v>
      </c>
      <c r="O282">
        <f t="shared" si="12"/>
        <v>1</v>
      </c>
      <c r="P282" t="str">
        <f t="shared" si="11"/>
        <v/>
      </c>
    </row>
    <row r="283" spans="7:16" x14ac:dyDescent="0.4">
      <c r="G283" s="24" t="s">
        <v>598</v>
      </c>
      <c r="H283" s="24" t="s">
        <v>600</v>
      </c>
      <c r="I283" s="24"/>
      <c r="J283" s="25">
        <v>6</v>
      </c>
      <c r="K283" s="25"/>
      <c r="L283" s="26">
        <v>6</v>
      </c>
      <c r="N283">
        <f t="shared" si="10"/>
        <v>1</v>
      </c>
      <c r="O283">
        <f t="shared" si="12"/>
        <v>1</v>
      </c>
      <c r="P283" t="str">
        <f t="shared" si="11"/>
        <v/>
      </c>
    </row>
    <row r="284" spans="7:16" x14ac:dyDescent="0.4">
      <c r="G284" s="24" t="s">
        <v>601</v>
      </c>
      <c r="H284" s="24" t="s">
        <v>603</v>
      </c>
      <c r="I284" s="24">
        <v>2</v>
      </c>
      <c r="J284" s="25">
        <v>4</v>
      </c>
      <c r="K284" s="25"/>
      <c r="L284" s="26">
        <v>6</v>
      </c>
      <c r="N284">
        <f t="shared" si="10"/>
        <v>1</v>
      </c>
      <c r="O284">
        <f t="shared" si="12"/>
        <v>0</v>
      </c>
      <c r="P284" t="str">
        <f t="shared" si="11"/>
        <v>yli2</v>
      </c>
    </row>
    <row r="285" spans="7:16" x14ac:dyDescent="0.4">
      <c r="G285" s="24" t="s">
        <v>604</v>
      </c>
      <c r="H285" s="24" t="s">
        <v>606</v>
      </c>
      <c r="I285" s="24">
        <v>6</v>
      </c>
      <c r="J285" s="25"/>
      <c r="K285" s="25"/>
      <c r="L285" s="26">
        <v>6</v>
      </c>
      <c r="N285">
        <f t="shared" si="10"/>
        <v>1</v>
      </c>
      <c r="O285">
        <f t="shared" si="12"/>
        <v>0</v>
      </c>
      <c r="P285" t="str">
        <f t="shared" si="11"/>
        <v>ytakasaki</v>
      </c>
    </row>
    <row r="286" spans="7:16" x14ac:dyDescent="0.4">
      <c r="G286" s="24" t="s">
        <v>607</v>
      </c>
      <c r="H286" s="24" t="s">
        <v>609</v>
      </c>
      <c r="I286" s="24"/>
      <c r="J286" s="25">
        <v>6</v>
      </c>
      <c r="K286" s="25"/>
      <c r="L286" s="26">
        <v>6</v>
      </c>
      <c r="N286">
        <f t="shared" si="10"/>
        <v>1</v>
      </c>
      <c r="O286">
        <f t="shared" si="12"/>
        <v>1</v>
      </c>
      <c r="P286" t="str">
        <f t="shared" si="11"/>
        <v/>
      </c>
    </row>
    <row r="287" spans="7:16" x14ac:dyDescent="0.4">
      <c r="G287" s="24" t="s">
        <v>610</v>
      </c>
      <c r="H287" s="24" t="s">
        <v>612</v>
      </c>
      <c r="I287" s="24"/>
      <c r="J287" s="25">
        <v>6</v>
      </c>
      <c r="K287" s="25"/>
      <c r="L287" s="26">
        <v>6</v>
      </c>
      <c r="N287">
        <f t="shared" si="10"/>
        <v>1</v>
      </c>
      <c r="O287">
        <f t="shared" si="12"/>
        <v>1</v>
      </c>
      <c r="P287" t="str">
        <f t="shared" si="11"/>
        <v/>
      </c>
    </row>
    <row r="288" spans="7:16" x14ac:dyDescent="0.4">
      <c r="G288" s="29" t="s">
        <v>613</v>
      </c>
      <c r="H288" s="29" t="s">
        <v>613</v>
      </c>
      <c r="I288" s="29"/>
      <c r="J288" s="32"/>
      <c r="K288" s="32"/>
      <c r="L288" s="3"/>
      <c r="N288">
        <f t="shared" si="10"/>
        <v>0</v>
      </c>
      <c r="O288" t="str">
        <f t="shared" ref="O288:O289" si="13">IF(AND(I288&gt;1,I288&lt;5),G288,"")</f>
        <v/>
      </c>
    </row>
    <row r="289" spans="14:15" x14ac:dyDescent="0.4">
      <c r="N289">
        <f t="shared" si="10"/>
        <v>0</v>
      </c>
      <c r="O289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D8A7-37CB-483A-A8C8-8E7C0BD6E53B}">
  <sheetPr filterMode="1"/>
  <dimension ref="A1:A255"/>
  <sheetViews>
    <sheetView topLeftCell="A156" workbookViewId="0">
      <selection activeCell="C192" sqref="C192"/>
    </sheetView>
  </sheetViews>
  <sheetFormatPr baseColWidth="10" defaultRowHeight="14.6" x14ac:dyDescent="0.4"/>
  <cols>
    <col min="1" max="1" width="11.07421875" customWidth="1"/>
  </cols>
  <sheetData>
    <row r="1" spans="1:1" x14ac:dyDescent="0.4">
      <c r="A1" t="s">
        <v>755</v>
      </c>
    </row>
    <row r="2" spans="1:1" x14ac:dyDescent="0.4">
      <c r="A2" t="s">
        <v>19</v>
      </c>
    </row>
    <row r="3" spans="1:1" hidden="1" x14ac:dyDescent="0.4">
      <c r="A3" t="s">
        <v>754</v>
      </c>
    </row>
    <row r="4" spans="1:1" hidden="1" x14ac:dyDescent="0.4">
      <c r="A4" t="s">
        <v>754</v>
      </c>
    </row>
    <row r="5" spans="1:1" hidden="1" x14ac:dyDescent="0.4">
      <c r="A5" t="s">
        <v>754</v>
      </c>
    </row>
    <row r="6" spans="1:1" hidden="1" x14ac:dyDescent="0.4">
      <c r="A6" t="s">
        <v>754</v>
      </c>
    </row>
    <row r="7" spans="1:1" hidden="1" x14ac:dyDescent="0.4">
      <c r="A7" t="s">
        <v>754</v>
      </c>
    </row>
    <row r="8" spans="1:1" hidden="1" x14ac:dyDescent="0.4">
      <c r="A8" t="s">
        <v>754</v>
      </c>
    </row>
    <row r="9" spans="1:1" hidden="1" x14ac:dyDescent="0.4">
      <c r="A9" t="s">
        <v>754</v>
      </c>
    </row>
    <row r="10" spans="1:1" x14ac:dyDescent="0.4">
      <c r="A10" t="s">
        <v>42</v>
      </c>
    </row>
    <row r="11" spans="1:1" x14ac:dyDescent="0.4">
      <c r="A11" t="s">
        <v>45</v>
      </c>
    </row>
    <row r="12" spans="1:1" hidden="1" x14ac:dyDescent="0.4">
      <c r="A12" t="s">
        <v>754</v>
      </c>
    </row>
    <row r="13" spans="1:1" hidden="1" x14ac:dyDescent="0.4">
      <c r="A13" t="s">
        <v>754</v>
      </c>
    </row>
    <row r="14" spans="1:1" hidden="1" x14ac:dyDescent="0.4">
      <c r="A14" t="s">
        <v>754</v>
      </c>
    </row>
    <row r="15" spans="1:1" hidden="1" x14ac:dyDescent="0.4">
      <c r="A15" t="s">
        <v>754</v>
      </c>
    </row>
    <row r="16" spans="1:1" hidden="1" x14ac:dyDescent="0.4">
      <c r="A16" t="s">
        <v>754</v>
      </c>
    </row>
    <row r="17" spans="1:1" x14ac:dyDescent="0.4">
      <c r="A17" t="s">
        <v>728</v>
      </c>
    </row>
    <row r="18" spans="1:1" hidden="1" x14ac:dyDescent="0.4">
      <c r="A18" t="s">
        <v>754</v>
      </c>
    </row>
    <row r="19" spans="1:1" hidden="1" x14ac:dyDescent="0.4">
      <c r="A19" t="s">
        <v>754</v>
      </c>
    </row>
    <row r="20" spans="1:1" hidden="1" x14ac:dyDescent="0.4">
      <c r="A20" t="s">
        <v>754</v>
      </c>
    </row>
    <row r="21" spans="1:1" hidden="1" x14ac:dyDescent="0.4">
      <c r="A21" t="s">
        <v>754</v>
      </c>
    </row>
    <row r="22" spans="1:1" hidden="1" x14ac:dyDescent="0.4">
      <c r="A22" t="s">
        <v>754</v>
      </c>
    </row>
    <row r="23" spans="1:1" x14ac:dyDescent="0.4">
      <c r="A23" t="s">
        <v>77</v>
      </c>
    </row>
    <row r="24" spans="1:1" hidden="1" x14ac:dyDescent="0.4">
      <c r="A24" t="s">
        <v>754</v>
      </c>
    </row>
    <row r="25" spans="1:1" hidden="1" x14ac:dyDescent="0.4">
      <c r="A25" t="s">
        <v>754</v>
      </c>
    </row>
    <row r="26" spans="1:1" x14ac:dyDescent="0.4">
      <c r="A26" t="s">
        <v>627</v>
      </c>
    </row>
    <row r="27" spans="1:1" x14ac:dyDescent="0.4">
      <c r="A27" t="s">
        <v>732</v>
      </c>
    </row>
    <row r="28" spans="1:1" hidden="1" x14ac:dyDescent="0.4">
      <c r="A28" t="s">
        <v>754</v>
      </c>
    </row>
    <row r="29" spans="1:1" hidden="1" x14ac:dyDescent="0.4">
      <c r="A29" t="s">
        <v>754</v>
      </c>
    </row>
    <row r="30" spans="1:1" x14ac:dyDescent="0.4">
      <c r="A30" t="s">
        <v>90</v>
      </c>
    </row>
    <row r="31" spans="1:1" x14ac:dyDescent="0.4">
      <c r="A31" t="s">
        <v>93</v>
      </c>
    </row>
    <row r="32" spans="1:1" hidden="1" x14ac:dyDescent="0.4">
      <c r="A32" t="s">
        <v>754</v>
      </c>
    </row>
    <row r="33" spans="1:1" hidden="1" x14ac:dyDescent="0.4">
      <c r="A33" t="s">
        <v>754</v>
      </c>
    </row>
    <row r="34" spans="1:1" x14ac:dyDescent="0.4">
      <c r="A34" t="s">
        <v>729</v>
      </c>
    </row>
    <row r="35" spans="1:1" hidden="1" x14ac:dyDescent="0.4">
      <c r="A35" t="s">
        <v>754</v>
      </c>
    </row>
    <row r="36" spans="1:1" x14ac:dyDescent="0.4">
      <c r="A36" t="s">
        <v>105</v>
      </c>
    </row>
    <row r="37" spans="1:1" x14ac:dyDescent="0.4">
      <c r="A37" t="s">
        <v>730</v>
      </c>
    </row>
    <row r="38" spans="1:1" x14ac:dyDescent="0.4">
      <c r="A38" t="s">
        <v>741</v>
      </c>
    </row>
    <row r="39" spans="1:1" hidden="1" x14ac:dyDescent="0.4">
      <c r="A39" t="s">
        <v>754</v>
      </c>
    </row>
    <row r="40" spans="1:1" x14ac:dyDescent="0.4">
      <c r="A40" t="s">
        <v>110</v>
      </c>
    </row>
    <row r="41" spans="1:1" x14ac:dyDescent="0.4">
      <c r="A41" t="s">
        <v>113</v>
      </c>
    </row>
    <row r="42" spans="1:1" hidden="1" x14ac:dyDescent="0.4">
      <c r="A42" t="s">
        <v>754</v>
      </c>
    </row>
    <row r="43" spans="1:1" hidden="1" x14ac:dyDescent="0.4">
      <c r="A43" t="s">
        <v>754</v>
      </c>
    </row>
    <row r="44" spans="1:1" x14ac:dyDescent="0.4">
      <c r="A44" t="s">
        <v>122</v>
      </c>
    </row>
    <row r="45" spans="1:1" hidden="1" x14ac:dyDescent="0.4">
      <c r="A45" t="s">
        <v>754</v>
      </c>
    </row>
    <row r="46" spans="1:1" x14ac:dyDescent="0.4">
      <c r="A46" t="s">
        <v>128</v>
      </c>
    </row>
    <row r="47" spans="1:1" hidden="1" x14ac:dyDescent="0.4">
      <c r="A47" t="s">
        <v>754</v>
      </c>
    </row>
    <row r="48" spans="1:1" x14ac:dyDescent="0.4">
      <c r="A48" t="s">
        <v>134</v>
      </c>
    </row>
    <row r="49" spans="1:1" x14ac:dyDescent="0.4">
      <c r="A49" t="s">
        <v>137</v>
      </c>
    </row>
    <row r="50" spans="1:1" x14ac:dyDescent="0.4">
      <c r="A50" t="s">
        <v>140</v>
      </c>
    </row>
    <row r="51" spans="1:1" hidden="1" x14ac:dyDescent="0.4">
      <c r="A51" t="s">
        <v>754</v>
      </c>
    </row>
    <row r="52" spans="1:1" x14ac:dyDescent="0.4">
      <c r="A52" t="s">
        <v>145</v>
      </c>
    </row>
    <row r="53" spans="1:1" x14ac:dyDescent="0.4">
      <c r="A53" t="s">
        <v>148</v>
      </c>
    </row>
    <row r="54" spans="1:1" x14ac:dyDescent="0.4">
      <c r="A54" t="s">
        <v>151</v>
      </c>
    </row>
    <row r="55" spans="1:1" x14ac:dyDescent="0.4">
      <c r="A55" t="s">
        <v>154</v>
      </c>
    </row>
    <row r="56" spans="1:1" hidden="1" x14ac:dyDescent="0.4">
      <c r="A56" t="s">
        <v>754</v>
      </c>
    </row>
    <row r="57" spans="1:1" x14ac:dyDescent="0.4">
      <c r="A57" t="s">
        <v>160</v>
      </c>
    </row>
    <row r="58" spans="1:1" hidden="1" x14ac:dyDescent="0.4">
      <c r="A58" t="s">
        <v>754</v>
      </c>
    </row>
    <row r="59" spans="1:1" x14ac:dyDescent="0.4">
      <c r="A59" t="s">
        <v>166</v>
      </c>
    </row>
    <row r="60" spans="1:1" x14ac:dyDescent="0.4">
      <c r="A60" t="s">
        <v>717</v>
      </c>
    </row>
    <row r="61" spans="1:1" hidden="1" x14ac:dyDescent="0.4">
      <c r="A61" t="s">
        <v>754</v>
      </c>
    </row>
    <row r="62" spans="1:1" x14ac:dyDescent="0.4">
      <c r="A62" t="s">
        <v>718</v>
      </c>
    </row>
    <row r="63" spans="1:1" x14ac:dyDescent="0.4">
      <c r="A63" t="s">
        <v>735</v>
      </c>
    </row>
    <row r="64" spans="1:1" x14ac:dyDescent="0.4">
      <c r="A64" t="s">
        <v>734</v>
      </c>
    </row>
    <row r="65" spans="1:1" hidden="1" x14ac:dyDescent="0.4">
      <c r="A65" t="s">
        <v>754</v>
      </c>
    </row>
    <row r="66" spans="1:1" hidden="1" x14ac:dyDescent="0.4">
      <c r="A66" t="s">
        <v>754</v>
      </c>
    </row>
    <row r="67" spans="1:1" x14ac:dyDescent="0.4">
      <c r="A67" t="s">
        <v>178</v>
      </c>
    </row>
    <row r="68" spans="1:1" hidden="1" x14ac:dyDescent="0.4">
      <c r="A68" t="s">
        <v>754</v>
      </c>
    </row>
    <row r="69" spans="1:1" hidden="1" x14ac:dyDescent="0.4">
      <c r="A69" t="s">
        <v>754</v>
      </c>
    </row>
    <row r="70" spans="1:1" x14ac:dyDescent="0.4">
      <c r="A70" t="s">
        <v>187</v>
      </c>
    </row>
    <row r="71" spans="1:1" hidden="1" x14ac:dyDescent="0.4">
      <c r="A71" t="s">
        <v>754</v>
      </c>
    </row>
    <row r="72" spans="1:1" hidden="1" x14ac:dyDescent="0.4">
      <c r="A72" t="s">
        <v>754</v>
      </c>
    </row>
    <row r="73" spans="1:1" hidden="1" x14ac:dyDescent="0.4">
      <c r="A73" t="s">
        <v>754</v>
      </c>
    </row>
    <row r="74" spans="1:1" x14ac:dyDescent="0.4">
      <c r="A74" t="s">
        <v>199</v>
      </c>
    </row>
    <row r="75" spans="1:1" x14ac:dyDescent="0.4">
      <c r="A75" t="s">
        <v>202</v>
      </c>
    </row>
    <row r="76" spans="1:1" hidden="1" x14ac:dyDescent="0.4">
      <c r="A76" t="s">
        <v>754</v>
      </c>
    </row>
    <row r="77" spans="1:1" hidden="1" x14ac:dyDescent="0.4">
      <c r="A77" t="s">
        <v>754</v>
      </c>
    </row>
    <row r="78" spans="1:1" hidden="1" x14ac:dyDescent="0.4">
      <c r="A78" t="s">
        <v>754</v>
      </c>
    </row>
    <row r="79" spans="1:1" hidden="1" x14ac:dyDescent="0.4">
      <c r="A79" t="s">
        <v>754</v>
      </c>
    </row>
    <row r="80" spans="1:1" hidden="1" x14ac:dyDescent="0.4">
      <c r="A80" t="s">
        <v>754</v>
      </c>
    </row>
    <row r="81" spans="1:1" x14ac:dyDescent="0.4">
      <c r="A81" t="s">
        <v>647</v>
      </c>
    </row>
    <row r="82" spans="1:1" hidden="1" x14ac:dyDescent="0.4">
      <c r="A82" t="s">
        <v>754</v>
      </c>
    </row>
    <row r="83" spans="1:1" x14ac:dyDescent="0.4">
      <c r="A83" t="s">
        <v>220</v>
      </c>
    </row>
    <row r="84" spans="1:1" hidden="1" x14ac:dyDescent="0.4">
      <c r="A84" t="s">
        <v>754</v>
      </c>
    </row>
    <row r="85" spans="1:1" hidden="1" x14ac:dyDescent="0.4">
      <c r="A85" t="s">
        <v>754</v>
      </c>
    </row>
    <row r="86" spans="1:1" hidden="1" x14ac:dyDescent="0.4">
      <c r="A86" t="s">
        <v>754</v>
      </c>
    </row>
    <row r="87" spans="1:1" hidden="1" x14ac:dyDescent="0.4">
      <c r="A87" t="s">
        <v>754</v>
      </c>
    </row>
    <row r="88" spans="1:1" hidden="1" x14ac:dyDescent="0.4">
      <c r="A88" t="s">
        <v>754</v>
      </c>
    </row>
    <row r="89" spans="1:1" hidden="1" x14ac:dyDescent="0.4">
      <c r="A89" t="s">
        <v>754</v>
      </c>
    </row>
    <row r="90" spans="1:1" hidden="1" x14ac:dyDescent="0.4">
      <c r="A90" t="s">
        <v>754</v>
      </c>
    </row>
    <row r="91" spans="1:1" hidden="1" x14ac:dyDescent="0.4">
      <c r="A91" t="s">
        <v>754</v>
      </c>
    </row>
    <row r="92" spans="1:1" hidden="1" x14ac:dyDescent="0.4">
      <c r="A92" t="s">
        <v>754</v>
      </c>
    </row>
    <row r="93" spans="1:1" hidden="1" x14ac:dyDescent="0.4">
      <c r="A93" t="s">
        <v>754</v>
      </c>
    </row>
    <row r="94" spans="1:1" x14ac:dyDescent="0.4">
      <c r="A94" t="s">
        <v>724</v>
      </c>
    </row>
    <row r="95" spans="1:1" x14ac:dyDescent="0.4">
      <c r="A95" t="s">
        <v>250</v>
      </c>
    </row>
    <row r="96" spans="1:1" hidden="1" x14ac:dyDescent="0.4">
      <c r="A96" t="s">
        <v>754</v>
      </c>
    </row>
    <row r="97" spans="1:1" x14ac:dyDescent="0.4">
      <c r="A97" t="s">
        <v>255</v>
      </c>
    </row>
    <row r="98" spans="1:1" hidden="1" x14ac:dyDescent="0.4">
      <c r="A98" t="s">
        <v>754</v>
      </c>
    </row>
    <row r="99" spans="1:1" hidden="1" x14ac:dyDescent="0.4">
      <c r="A99" t="s">
        <v>754</v>
      </c>
    </row>
    <row r="100" spans="1:1" hidden="1" x14ac:dyDescent="0.4">
      <c r="A100" t="s">
        <v>754</v>
      </c>
    </row>
    <row r="101" spans="1:1" x14ac:dyDescent="0.4">
      <c r="A101" t="s">
        <v>721</v>
      </c>
    </row>
    <row r="102" spans="1:1" hidden="1" x14ac:dyDescent="0.4">
      <c r="A102" t="s">
        <v>754</v>
      </c>
    </row>
    <row r="103" spans="1:1" x14ac:dyDescent="0.4">
      <c r="A103" t="s">
        <v>269</v>
      </c>
    </row>
    <row r="104" spans="1:1" hidden="1" x14ac:dyDescent="0.4">
      <c r="A104" t="s">
        <v>754</v>
      </c>
    </row>
    <row r="105" spans="1:1" hidden="1" x14ac:dyDescent="0.4">
      <c r="A105" t="s">
        <v>754</v>
      </c>
    </row>
    <row r="106" spans="1:1" x14ac:dyDescent="0.4">
      <c r="A106" t="s">
        <v>278</v>
      </c>
    </row>
    <row r="107" spans="1:1" x14ac:dyDescent="0.4">
      <c r="A107" t="s">
        <v>281</v>
      </c>
    </row>
    <row r="108" spans="1:1" x14ac:dyDescent="0.4">
      <c r="A108" t="s">
        <v>743</v>
      </c>
    </row>
    <row r="109" spans="1:1" hidden="1" x14ac:dyDescent="0.4">
      <c r="A109" t="s">
        <v>754</v>
      </c>
    </row>
    <row r="110" spans="1:1" x14ac:dyDescent="0.4">
      <c r="A110" t="s">
        <v>287</v>
      </c>
    </row>
    <row r="111" spans="1:1" x14ac:dyDescent="0.4">
      <c r="A111" t="s">
        <v>723</v>
      </c>
    </row>
    <row r="112" spans="1:1" x14ac:dyDescent="0.4">
      <c r="A112" t="s">
        <v>290</v>
      </c>
    </row>
    <row r="113" spans="1:1" x14ac:dyDescent="0.4">
      <c r="A113" t="s">
        <v>293</v>
      </c>
    </row>
    <row r="114" spans="1:1" hidden="1" x14ac:dyDescent="0.4">
      <c r="A114" t="s">
        <v>754</v>
      </c>
    </row>
    <row r="115" spans="1:1" x14ac:dyDescent="0.4">
      <c r="A115" t="s">
        <v>640</v>
      </c>
    </row>
    <row r="116" spans="1:1" x14ac:dyDescent="0.4">
      <c r="A116" t="s">
        <v>298</v>
      </c>
    </row>
    <row r="117" spans="1:1" hidden="1" x14ac:dyDescent="0.4">
      <c r="A117" t="s">
        <v>754</v>
      </c>
    </row>
    <row r="118" spans="1:1" hidden="1" x14ac:dyDescent="0.4">
      <c r="A118" t="s">
        <v>754</v>
      </c>
    </row>
    <row r="119" spans="1:1" x14ac:dyDescent="0.4">
      <c r="A119" t="s">
        <v>306</v>
      </c>
    </row>
    <row r="120" spans="1:1" hidden="1" x14ac:dyDescent="0.4">
      <c r="A120" t="s">
        <v>754</v>
      </c>
    </row>
    <row r="121" spans="1:1" hidden="1" x14ac:dyDescent="0.4">
      <c r="A121" t="s">
        <v>754</v>
      </c>
    </row>
    <row r="122" spans="1:1" hidden="1" x14ac:dyDescent="0.4">
      <c r="A122" t="s">
        <v>754</v>
      </c>
    </row>
    <row r="123" spans="1:1" x14ac:dyDescent="0.4">
      <c r="A123" t="s">
        <v>317</v>
      </c>
    </row>
    <row r="124" spans="1:1" x14ac:dyDescent="0.4">
      <c r="A124" t="s">
        <v>713</v>
      </c>
    </row>
    <row r="125" spans="1:1" hidden="1" x14ac:dyDescent="0.4">
      <c r="A125" t="s">
        <v>754</v>
      </c>
    </row>
    <row r="126" spans="1:1" hidden="1" x14ac:dyDescent="0.4">
      <c r="A126" t="s">
        <v>754</v>
      </c>
    </row>
    <row r="127" spans="1:1" hidden="1" x14ac:dyDescent="0.4">
      <c r="A127" t="s">
        <v>754</v>
      </c>
    </row>
    <row r="128" spans="1:1" hidden="1" x14ac:dyDescent="0.4">
      <c r="A128" t="s">
        <v>754</v>
      </c>
    </row>
    <row r="129" spans="1:1" hidden="1" x14ac:dyDescent="0.4">
      <c r="A129" t="s">
        <v>754</v>
      </c>
    </row>
    <row r="130" spans="1:1" x14ac:dyDescent="0.4">
      <c r="A130" t="s">
        <v>731</v>
      </c>
    </row>
    <row r="131" spans="1:1" x14ac:dyDescent="0.4">
      <c r="A131" t="s">
        <v>333</v>
      </c>
    </row>
    <row r="132" spans="1:1" hidden="1" x14ac:dyDescent="0.4">
      <c r="A132" t="s">
        <v>754</v>
      </c>
    </row>
    <row r="133" spans="1:1" x14ac:dyDescent="0.4">
      <c r="A133" t="s">
        <v>339</v>
      </c>
    </row>
    <row r="134" spans="1:1" x14ac:dyDescent="0.4">
      <c r="A134" t="s">
        <v>631</v>
      </c>
    </row>
    <row r="135" spans="1:1" hidden="1" x14ac:dyDescent="0.4">
      <c r="A135" t="s">
        <v>754</v>
      </c>
    </row>
    <row r="136" spans="1:1" hidden="1" x14ac:dyDescent="0.4">
      <c r="A136" t="s">
        <v>754</v>
      </c>
    </row>
    <row r="137" spans="1:1" hidden="1" x14ac:dyDescent="0.4">
      <c r="A137" t="s">
        <v>754</v>
      </c>
    </row>
    <row r="138" spans="1:1" hidden="1" x14ac:dyDescent="0.4">
      <c r="A138" t="s">
        <v>754</v>
      </c>
    </row>
    <row r="139" spans="1:1" x14ac:dyDescent="0.4">
      <c r="A139" t="s">
        <v>351</v>
      </c>
    </row>
    <row r="140" spans="1:1" hidden="1" x14ac:dyDescent="0.4">
      <c r="A140" t="s">
        <v>754</v>
      </c>
    </row>
    <row r="141" spans="1:1" x14ac:dyDescent="0.4">
      <c r="A141" t="s">
        <v>357</v>
      </c>
    </row>
    <row r="142" spans="1:1" hidden="1" x14ac:dyDescent="0.4">
      <c r="A142" t="s">
        <v>754</v>
      </c>
    </row>
    <row r="143" spans="1:1" hidden="1" x14ac:dyDescent="0.4">
      <c r="A143" t="s">
        <v>754</v>
      </c>
    </row>
    <row r="144" spans="1:1" x14ac:dyDescent="0.4">
      <c r="A144" t="s">
        <v>715</v>
      </c>
    </row>
    <row r="145" spans="1:1" x14ac:dyDescent="0.4">
      <c r="A145" t="s">
        <v>736</v>
      </c>
    </row>
    <row r="146" spans="1:1" x14ac:dyDescent="0.4">
      <c r="A146" t="s">
        <v>637</v>
      </c>
    </row>
    <row r="147" spans="1:1" x14ac:dyDescent="0.4">
      <c r="A147" t="s">
        <v>737</v>
      </c>
    </row>
    <row r="148" spans="1:1" x14ac:dyDescent="0.4">
      <c r="A148" t="s">
        <v>624</v>
      </c>
    </row>
    <row r="149" spans="1:1" x14ac:dyDescent="0.4">
      <c r="A149" t="s">
        <v>727</v>
      </c>
    </row>
    <row r="150" spans="1:1" hidden="1" x14ac:dyDescent="0.4">
      <c r="A150" t="s">
        <v>754</v>
      </c>
    </row>
    <row r="151" spans="1:1" hidden="1" x14ac:dyDescent="0.4">
      <c r="A151" t="s">
        <v>754</v>
      </c>
    </row>
    <row r="152" spans="1:1" hidden="1" x14ac:dyDescent="0.4">
      <c r="A152" t="s">
        <v>754</v>
      </c>
    </row>
    <row r="153" spans="1:1" x14ac:dyDescent="0.4">
      <c r="A153" t="s">
        <v>653</v>
      </c>
    </row>
    <row r="154" spans="1:1" x14ac:dyDescent="0.4">
      <c r="A154" t="s">
        <v>374</v>
      </c>
    </row>
    <row r="155" spans="1:1" x14ac:dyDescent="0.4">
      <c r="A155" t="s">
        <v>377</v>
      </c>
    </row>
    <row r="156" spans="1:1" x14ac:dyDescent="0.4">
      <c r="A156" t="s">
        <v>380</v>
      </c>
    </row>
    <row r="157" spans="1:1" x14ac:dyDescent="0.4">
      <c r="A157" t="s">
        <v>383</v>
      </c>
    </row>
    <row r="158" spans="1:1" hidden="1" x14ac:dyDescent="0.4">
      <c r="A158" t="s">
        <v>754</v>
      </c>
    </row>
    <row r="159" spans="1:1" hidden="1" x14ac:dyDescent="0.4">
      <c r="A159" t="s">
        <v>754</v>
      </c>
    </row>
    <row r="160" spans="1:1" hidden="1" x14ac:dyDescent="0.4">
      <c r="A160" t="s">
        <v>754</v>
      </c>
    </row>
    <row r="161" spans="1:1" x14ac:dyDescent="0.4">
      <c r="A161" t="s">
        <v>716</v>
      </c>
    </row>
    <row r="162" spans="1:1" x14ac:dyDescent="0.4">
      <c r="A162" t="s">
        <v>394</v>
      </c>
    </row>
    <row r="163" spans="1:1" hidden="1" x14ac:dyDescent="0.4">
      <c r="A163" t="s">
        <v>754</v>
      </c>
    </row>
    <row r="164" spans="1:1" hidden="1" x14ac:dyDescent="0.4">
      <c r="A164" t="s">
        <v>754</v>
      </c>
    </row>
    <row r="165" spans="1:1" hidden="1" x14ac:dyDescent="0.4">
      <c r="A165" t="s">
        <v>754</v>
      </c>
    </row>
    <row r="166" spans="1:1" hidden="1" x14ac:dyDescent="0.4">
      <c r="A166" t="s">
        <v>754</v>
      </c>
    </row>
    <row r="167" spans="1:1" x14ac:dyDescent="0.4">
      <c r="A167" t="s">
        <v>733</v>
      </c>
    </row>
    <row r="168" spans="1:1" x14ac:dyDescent="0.4">
      <c r="A168" t="s">
        <v>409</v>
      </c>
    </row>
    <row r="169" spans="1:1" hidden="1" x14ac:dyDescent="0.4">
      <c r="A169" t="s">
        <v>754</v>
      </c>
    </row>
    <row r="170" spans="1:1" x14ac:dyDescent="0.4">
      <c r="A170" t="s">
        <v>415</v>
      </c>
    </row>
    <row r="171" spans="1:1" x14ac:dyDescent="0.4">
      <c r="A171" t="s">
        <v>740</v>
      </c>
    </row>
    <row r="172" spans="1:1" hidden="1" x14ac:dyDescent="0.4">
      <c r="A172" t="s">
        <v>754</v>
      </c>
    </row>
    <row r="173" spans="1:1" hidden="1" x14ac:dyDescent="0.4">
      <c r="A173" t="s">
        <v>754</v>
      </c>
    </row>
    <row r="174" spans="1:1" x14ac:dyDescent="0.4">
      <c r="A174" t="s">
        <v>725</v>
      </c>
    </row>
    <row r="175" spans="1:1" hidden="1" x14ac:dyDescent="0.4">
      <c r="A175" t="s">
        <v>754</v>
      </c>
    </row>
    <row r="176" spans="1:1" hidden="1" x14ac:dyDescent="0.4">
      <c r="A176" t="s">
        <v>754</v>
      </c>
    </row>
    <row r="177" spans="1:1" hidden="1" x14ac:dyDescent="0.4">
      <c r="A177" t="s">
        <v>754</v>
      </c>
    </row>
    <row r="178" spans="1:1" hidden="1" x14ac:dyDescent="0.4">
      <c r="A178" t="s">
        <v>754</v>
      </c>
    </row>
    <row r="179" spans="1:1" hidden="1" x14ac:dyDescent="0.4">
      <c r="A179" t="s">
        <v>754</v>
      </c>
    </row>
    <row r="180" spans="1:1" x14ac:dyDescent="0.4">
      <c r="A180" t="s">
        <v>438</v>
      </c>
    </row>
    <row r="181" spans="1:1" x14ac:dyDescent="0.4">
      <c r="A181" t="s">
        <v>441</v>
      </c>
    </row>
    <row r="182" spans="1:1" x14ac:dyDescent="0.4">
      <c r="A182" t="s">
        <v>742</v>
      </c>
    </row>
    <row r="183" spans="1:1" hidden="1" x14ac:dyDescent="0.4">
      <c r="A183" t="s">
        <v>754</v>
      </c>
    </row>
    <row r="184" spans="1:1" x14ac:dyDescent="0.4">
      <c r="A184" t="s">
        <v>447</v>
      </c>
    </row>
    <row r="185" spans="1:1" hidden="1" x14ac:dyDescent="0.4">
      <c r="A185" t="s">
        <v>754</v>
      </c>
    </row>
    <row r="186" spans="1:1" hidden="1" x14ac:dyDescent="0.4">
      <c r="A186" t="s">
        <v>754</v>
      </c>
    </row>
    <row r="187" spans="1:1" hidden="1" x14ac:dyDescent="0.4">
      <c r="A187" t="s">
        <v>754</v>
      </c>
    </row>
    <row r="188" spans="1:1" x14ac:dyDescent="0.4">
      <c r="A188" t="s">
        <v>720</v>
      </c>
    </row>
    <row r="189" spans="1:1" x14ac:dyDescent="0.4">
      <c r="A189" t="s">
        <v>459</v>
      </c>
    </row>
    <row r="190" spans="1:1" x14ac:dyDescent="0.4">
      <c r="A190" t="s">
        <v>722</v>
      </c>
    </row>
    <row r="191" spans="1:1" x14ac:dyDescent="0.4">
      <c r="A191" t="s">
        <v>643</v>
      </c>
    </row>
    <row r="192" spans="1:1" x14ac:dyDescent="0.4">
      <c r="A192" t="s">
        <v>462</v>
      </c>
    </row>
    <row r="193" spans="1:1" x14ac:dyDescent="0.4">
      <c r="A193" t="s">
        <v>465</v>
      </c>
    </row>
    <row r="194" spans="1:1" hidden="1" x14ac:dyDescent="0.4">
      <c r="A194" t="s">
        <v>754</v>
      </c>
    </row>
    <row r="195" spans="1:1" hidden="1" x14ac:dyDescent="0.4">
      <c r="A195" t="s">
        <v>754</v>
      </c>
    </row>
    <row r="196" spans="1:1" hidden="1" x14ac:dyDescent="0.4">
      <c r="A196" t="s">
        <v>754</v>
      </c>
    </row>
    <row r="197" spans="1:1" x14ac:dyDescent="0.4">
      <c r="A197" t="s">
        <v>476</v>
      </c>
    </row>
    <row r="198" spans="1:1" hidden="1" x14ac:dyDescent="0.4">
      <c r="A198" t="s">
        <v>754</v>
      </c>
    </row>
    <row r="199" spans="1:1" x14ac:dyDescent="0.4">
      <c r="A199" t="s">
        <v>738</v>
      </c>
    </row>
    <row r="200" spans="1:1" hidden="1" x14ac:dyDescent="0.4">
      <c r="A200" t="s">
        <v>754</v>
      </c>
    </row>
    <row r="201" spans="1:1" x14ac:dyDescent="0.4">
      <c r="A201" t="s">
        <v>650</v>
      </c>
    </row>
    <row r="202" spans="1:1" x14ac:dyDescent="0.4">
      <c r="A202" t="s">
        <v>485</v>
      </c>
    </row>
    <row r="203" spans="1:1" x14ac:dyDescent="0.4">
      <c r="A203" t="s">
        <v>488</v>
      </c>
    </row>
    <row r="204" spans="1:1" hidden="1" x14ac:dyDescent="0.4">
      <c r="A204" t="s">
        <v>754</v>
      </c>
    </row>
    <row r="205" spans="1:1" hidden="1" x14ac:dyDescent="0.4">
      <c r="A205" t="s">
        <v>754</v>
      </c>
    </row>
    <row r="206" spans="1:1" hidden="1" x14ac:dyDescent="0.4">
      <c r="A206" t="s">
        <v>754</v>
      </c>
    </row>
    <row r="207" spans="1:1" hidden="1" x14ac:dyDescent="0.4">
      <c r="A207" t="s">
        <v>754</v>
      </c>
    </row>
    <row r="208" spans="1:1" hidden="1" x14ac:dyDescent="0.4">
      <c r="A208" t="s">
        <v>754</v>
      </c>
    </row>
    <row r="209" spans="1:1" x14ac:dyDescent="0.4">
      <c r="A209" t="s">
        <v>505</v>
      </c>
    </row>
    <row r="210" spans="1:1" hidden="1" x14ac:dyDescent="0.4">
      <c r="A210" t="s">
        <v>754</v>
      </c>
    </row>
    <row r="211" spans="1:1" hidden="1" x14ac:dyDescent="0.4">
      <c r="A211" t="s">
        <v>754</v>
      </c>
    </row>
    <row r="212" spans="1:1" x14ac:dyDescent="0.4">
      <c r="A212" t="s">
        <v>719</v>
      </c>
    </row>
    <row r="213" spans="1:1" hidden="1" x14ac:dyDescent="0.4">
      <c r="A213" t="s">
        <v>754</v>
      </c>
    </row>
    <row r="214" spans="1:1" x14ac:dyDescent="0.4">
      <c r="A214" t="s">
        <v>726</v>
      </c>
    </row>
    <row r="215" spans="1:1" x14ac:dyDescent="0.4">
      <c r="A215" t="s">
        <v>517</v>
      </c>
    </row>
    <row r="216" spans="1:1" hidden="1" x14ac:dyDescent="0.4">
      <c r="A216" t="s">
        <v>754</v>
      </c>
    </row>
    <row r="217" spans="1:1" hidden="1" x14ac:dyDescent="0.4">
      <c r="A217" t="s">
        <v>754</v>
      </c>
    </row>
    <row r="218" spans="1:1" hidden="1" x14ac:dyDescent="0.4">
      <c r="A218" t="s">
        <v>754</v>
      </c>
    </row>
    <row r="219" spans="1:1" hidden="1" x14ac:dyDescent="0.4">
      <c r="A219" t="s">
        <v>754</v>
      </c>
    </row>
    <row r="220" spans="1:1" hidden="1" x14ac:dyDescent="0.4">
      <c r="A220" t="s">
        <v>754</v>
      </c>
    </row>
    <row r="221" spans="1:1" hidden="1" x14ac:dyDescent="0.4">
      <c r="A221" t="s">
        <v>754</v>
      </c>
    </row>
    <row r="222" spans="1:1" hidden="1" x14ac:dyDescent="0.4">
      <c r="A222" t="s">
        <v>754</v>
      </c>
    </row>
    <row r="223" spans="1:1" x14ac:dyDescent="0.4">
      <c r="A223" t="s">
        <v>539</v>
      </c>
    </row>
    <row r="224" spans="1:1" x14ac:dyDescent="0.4">
      <c r="A224" t="s">
        <v>542</v>
      </c>
    </row>
    <row r="225" spans="1:1" hidden="1" x14ac:dyDescent="0.4">
      <c r="A225" t="s">
        <v>754</v>
      </c>
    </row>
    <row r="226" spans="1:1" hidden="1" x14ac:dyDescent="0.4">
      <c r="A226" t="s">
        <v>754</v>
      </c>
    </row>
    <row r="227" spans="1:1" hidden="1" x14ac:dyDescent="0.4">
      <c r="A227" t="s">
        <v>754</v>
      </c>
    </row>
    <row r="228" spans="1:1" hidden="1" x14ac:dyDescent="0.4">
      <c r="A228" t="s">
        <v>754</v>
      </c>
    </row>
    <row r="229" spans="1:1" hidden="1" x14ac:dyDescent="0.4">
      <c r="A229" t="s">
        <v>754</v>
      </c>
    </row>
    <row r="230" spans="1:1" hidden="1" x14ac:dyDescent="0.4">
      <c r="A230" t="s">
        <v>754</v>
      </c>
    </row>
    <row r="231" spans="1:1" x14ac:dyDescent="0.4">
      <c r="A231" t="s">
        <v>563</v>
      </c>
    </row>
    <row r="232" spans="1:1" hidden="1" x14ac:dyDescent="0.4">
      <c r="A232" t="s">
        <v>754</v>
      </c>
    </row>
    <row r="233" spans="1:1" x14ac:dyDescent="0.4">
      <c r="A233" t="s">
        <v>569</v>
      </c>
    </row>
    <row r="234" spans="1:1" hidden="1" x14ac:dyDescent="0.4">
      <c r="A234" t="s">
        <v>754</v>
      </c>
    </row>
    <row r="235" spans="1:1" hidden="1" x14ac:dyDescent="0.4">
      <c r="A235" t="s">
        <v>754</v>
      </c>
    </row>
    <row r="236" spans="1:1" x14ac:dyDescent="0.4">
      <c r="A236" t="s">
        <v>714</v>
      </c>
    </row>
    <row r="237" spans="1:1" hidden="1" x14ac:dyDescent="0.4">
      <c r="A237" t="s">
        <v>754</v>
      </c>
    </row>
    <row r="238" spans="1:1" hidden="1" x14ac:dyDescent="0.4">
      <c r="A238" t="s">
        <v>754</v>
      </c>
    </row>
    <row r="239" spans="1:1" hidden="1" x14ac:dyDescent="0.4">
      <c r="A239" t="s">
        <v>754</v>
      </c>
    </row>
    <row r="240" spans="1:1" x14ac:dyDescent="0.4">
      <c r="A240" t="s">
        <v>585</v>
      </c>
    </row>
    <row r="241" spans="1:1" hidden="1" x14ac:dyDescent="0.4">
      <c r="A241" t="s">
        <v>754</v>
      </c>
    </row>
    <row r="242" spans="1:1" hidden="1" x14ac:dyDescent="0.4">
      <c r="A242" t="s">
        <v>754</v>
      </c>
    </row>
    <row r="243" spans="1:1" x14ac:dyDescent="0.4">
      <c r="A243" t="s">
        <v>592</v>
      </c>
    </row>
    <row r="244" spans="1:1" hidden="1" x14ac:dyDescent="0.4">
      <c r="A244" t="s">
        <v>754</v>
      </c>
    </row>
    <row r="245" spans="1:1" hidden="1" x14ac:dyDescent="0.4">
      <c r="A245" t="s">
        <v>754</v>
      </c>
    </row>
    <row r="246" spans="1:1" x14ac:dyDescent="0.4">
      <c r="A246" t="s">
        <v>601</v>
      </c>
    </row>
    <row r="247" spans="1:1" x14ac:dyDescent="0.4">
      <c r="A247" t="s">
        <v>604</v>
      </c>
    </row>
    <row r="248" spans="1:1" hidden="1" x14ac:dyDescent="0.4">
      <c r="A248" t="s">
        <v>754</v>
      </c>
    </row>
    <row r="249" spans="1:1" hidden="1" x14ac:dyDescent="0.4">
      <c r="A249" t="s">
        <v>754</v>
      </c>
    </row>
    <row r="250" spans="1:1" x14ac:dyDescent="0.4">
      <c r="A250" t="s">
        <v>601</v>
      </c>
    </row>
    <row r="251" spans="1:1" hidden="1" x14ac:dyDescent="0.4">
      <c r="A251" t="s">
        <v>754</v>
      </c>
    </row>
    <row r="252" spans="1:1" hidden="1" x14ac:dyDescent="0.4">
      <c r="A252" t="s">
        <v>754</v>
      </c>
    </row>
    <row r="253" spans="1:1" hidden="1" x14ac:dyDescent="0.4">
      <c r="A253" t="s">
        <v>754</v>
      </c>
    </row>
    <row r="254" spans="1:1" hidden="1" x14ac:dyDescent="0.4">
      <c r="A254" t="s">
        <v>754</v>
      </c>
    </row>
    <row r="255" spans="1:1" hidden="1" x14ac:dyDescent="0.4">
      <c r="A255" t="s">
        <v>754</v>
      </c>
    </row>
  </sheetData>
  <autoFilter ref="A1:A255" xr:uid="{BBFBD8A7-37CB-483A-A8C8-8E7C0BD6E53B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1717EE7211B9438C5BBFBB9DA8BDC5" ma:contentTypeVersion="14" ma:contentTypeDescription="Crée un document." ma:contentTypeScope="" ma:versionID="0a4a69a192a50c4d1d0f1ee147857265">
  <xsd:schema xmlns:xsd="http://www.w3.org/2001/XMLSchema" xmlns:xs="http://www.w3.org/2001/XMLSchema" xmlns:p="http://schemas.microsoft.com/office/2006/metadata/properties" xmlns:ns2="4fe70b41-cf67-4768-8046-6584020a5050" xmlns:ns3="a3cfc4b9-5044-412f-80d4-02a4cd5bb42f" targetNamespace="http://schemas.microsoft.com/office/2006/metadata/properties" ma:root="true" ma:fieldsID="a6b749744b1f864b52bb820651e0f015" ns2:_="" ns3:_="">
    <xsd:import namespace="4fe70b41-cf67-4768-8046-6584020a5050"/>
    <xsd:import namespace="a3cfc4b9-5044-412f-80d4-02a4cd5bb42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70b41-cf67-4768-8046-6584020a505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9b3b72f-3d9a-4f6c-aa27-0e16f78c08f3}" ma:internalName="TaxCatchAll" ma:showField="CatchAllData" ma:web="4fe70b41-cf67-4768-8046-6584020a50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fc4b9-5044-412f-80d4-02a4cd5bb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5e8b748-52cb-42c2-ad73-b140d7ba2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cfc4b9-5044-412f-80d4-02a4cd5bb42f">
      <Terms xmlns="http://schemas.microsoft.com/office/infopath/2007/PartnerControls"/>
    </lcf76f155ced4ddcb4097134ff3c332f>
    <TaxCatchAll xmlns="4fe70b41-cf67-4768-8046-6584020a5050" xsi:nil="true"/>
  </documentManagement>
</p:properties>
</file>

<file path=customXml/itemProps1.xml><?xml version="1.0" encoding="utf-8"?>
<ds:datastoreItem xmlns:ds="http://schemas.openxmlformats.org/officeDocument/2006/customXml" ds:itemID="{61DC32A5-7C98-4F49-AAB0-D0614BA52A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CA18F-D79C-4858-97D3-0DAC839A32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e70b41-cf67-4768-8046-6584020a5050"/>
    <ds:schemaRef ds:uri="a3cfc4b9-5044-412f-80d4-02a4cd5bb4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B10E17-2368-4B60-BD57-5E8BA1725160}">
  <ds:schemaRefs>
    <ds:schemaRef ds:uri="http://schemas.microsoft.com/office/2006/metadata/properties"/>
    <ds:schemaRef ds:uri="http://schemas.microsoft.com/office/infopath/2007/PartnerControls"/>
    <ds:schemaRef ds:uri="a3cfc4b9-5044-412f-80d4-02a4cd5bb42f"/>
    <ds:schemaRef ds:uri="4fe70b41-cf67-4768-8046-6584020a50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003481</vt:lpstr>
      <vt:lpstr>OASIS</vt:lpstr>
      <vt:lpstr>Synthese</vt:lpstr>
      <vt:lpstr>Brouillon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Émargement de séances</dc:title>
  <dc:subject/>
  <dc:creator>Hervé HOAREAU</dc:creator>
  <cp:keywords/>
  <dc:description/>
  <cp:lastModifiedBy>Hervé Hoareau - Externe</cp:lastModifiedBy>
  <dcterms:created xsi:type="dcterms:W3CDTF">2026-01-21T08:33:39Z</dcterms:created>
  <dcterms:modified xsi:type="dcterms:W3CDTF">2026-02-26T15:52:57Z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0x0101003C1717EE7211B9438C5BBFBB9DA8BDC5</vt:lpwstr>
  </property>
  <property fmtid="{D5CDD505-2E9C-101B-9397-08002B2CF9AE}" pid="3" name="MediaServiceImageTags">
    <vt:lpwstr/>
  </property>
</Properties>
</file>